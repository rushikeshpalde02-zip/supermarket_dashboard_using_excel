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<sst xmlns="http://schemas.openxmlformats.org/spreadsheetml/2006/main" count="8063" uniqueCount="1567">
  <si>
    <t xml:space="preserve">Supermarket Sales Analysis Dashboard</t>
  </si>
  <si>
    <t xml:space="preserve">Filters below drive every KPI, table, and chart on this sheet.</t>
  </si>
  <si>
    <t xml:space="preserve">FILTERS</t>
  </si>
  <si>
    <t xml:space="preserve">Branch:</t>
  </si>
  <si>
    <t xml:space="preserve">All</t>
  </si>
  <si>
    <t xml:space="preserve">City:</t>
  </si>
  <si>
    <t xml:space="preserve">Customer type:</t>
  </si>
  <si>
    <t xml:space="preserve">Gender:</t>
  </si>
  <si>
    <t xml:space="preserve">TOTAL SALES REVENUE</t>
  </si>
  <si>
    <t xml:space="preserve">TOTAL GROSS PROFIT</t>
  </si>
  <si>
    <t xml:space="preserve">AVG CUSTOMER RATING</t>
  </si>
  <si>
    <t xml:space="preserve">TOTAL TRANSACTIONS</t>
  </si>
  <si>
    <t xml:space="preserve">AVG BASKET VALUE</t>
  </si>
  <si>
    <t xml:space="preserve">Supporting tables (auto-calculated from filters above — charts and KPIs reference these)</t>
  </si>
  <si>
    <t xml:space="preserve">Product line</t>
  </si>
  <si>
    <t xml:space="preserve">Sales</t>
  </si>
  <si>
    <t xml:space="preserve">Month</t>
  </si>
  <si>
    <t xml:space="preserve">Branch</t>
  </si>
  <si>
    <t xml:space="preserve">Total Sales</t>
  </si>
  <si>
    <t xml:space="preserve">Avg Rating</t>
  </si>
  <si>
    <t xml:space="preserve">Payment</t>
  </si>
  <si>
    <t xml:space="preserve">Member</t>
  </si>
  <si>
    <t xml:space="preserve">Normal</t>
  </si>
  <si>
    <t xml:space="preserve">Home and lifestyle</t>
  </si>
  <si>
    <t xml:space="preserve">Jan 2019</t>
  </si>
  <si>
    <t xml:space="preserve">A</t>
  </si>
  <si>
    <t xml:space="preserve">Ewallet</t>
  </si>
  <si>
    <t xml:space="preserve">Electronic accessories</t>
  </si>
  <si>
    <t xml:space="preserve">Feb 2019</t>
  </si>
  <si>
    <t xml:space="preserve">B</t>
  </si>
  <si>
    <t xml:space="preserve">Cash</t>
  </si>
  <si>
    <t xml:space="preserve">Health and beauty</t>
  </si>
  <si>
    <t xml:space="preserve">Mar 2019</t>
  </si>
  <si>
    <t xml:space="preserve">C</t>
  </si>
  <si>
    <t xml:space="preserve">Credit card</t>
  </si>
  <si>
    <t xml:space="preserve">Fashion accessories</t>
  </si>
  <si>
    <t xml:space="preserve">Food and beverages</t>
  </si>
  <si>
    <t xml:space="preserve">Sports and travel</t>
  </si>
  <si>
    <t xml:space="preserve">Invoice ID</t>
  </si>
  <si>
    <t xml:space="preserve">City</t>
  </si>
  <si>
    <t xml:space="preserve">Customer type</t>
  </si>
  <si>
    <t xml:space="preserve">Gender</t>
  </si>
  <si>
    <t xml:space="preserve">Unit price</t>
  </si>
  <si>
    <t xml:space="preserve">Quantity</t>
  </si>
  <si>
    <t xml:space="preserve">Tax 5%</t>
  </si>
  <si>
    <t xml:space="preserve">Total</t>
  </si>
  <si>
    <t xml:space="preserve">Date</t>
  </si>
  <si>
    <t xml:space="preserve">Time</t>
  </si>
  <si>
    <t xml:space="preserve">cogs</t>
  </si>
  <si>
    <t xml:space="preserve">gross margin percentage</t>
  </si>
  <si>
    <t xml:space="preserve">gross income</t>
  </si>
  <si>
    <t xml:space="preserve">Rating</t>
  </si>
  <si>
    <t xml:space="preserve">Hour</t>
  </si>
  <si>
    <t xml:space="preserve">Time Slot</t>
  </si>
  <si>
    <t xml:space="preserve">Total Profit (Gross Income)</t>
  </si>
  <si>
    <t xml:space="preserve">894-54-6752</t>
  </si>
  <si>
    <t xml:space="preserve">Mandalay</t>
  </si>
  <si>
    <t xml:space="preserve">Female</t>
  </si>
  <si>
    <t xml:space="preserve">11:27</t>
  </si>
  <si>
    <t xml:space="preserve">294-25-8846</t>
  </si>
  <si>
    <t xml:space="preserve">Male</t>
  </si>
  <si>
    <t xml:space="preserve">17:14</t>
  </si>
  <si>
    <t xml:space="preserve">115-28-7717</t>
  </si>
  <si>
    <t xml:space="preserve">12:13</t>
  </si>
  <si>
    <t xml:space="preserve">377-15-2218</t>
  </si>
  <si>
    <t xml:space="preserve">Naypyitaw</t>
  </si>
  <si>
    <t xml:space="preserve">11:32</t>
  </si>
  <si>
    <t xml:space="preserve">529-38-8359</t>
  </si>
  <si>
    <t xml:space="preserve">Yangon</t>
  </si>
  <si>
    <t xml:space="preserve">19:42</t>
  </si>
  <si>
    <t xml:space="preserve">336-25-4155</t>
  </si>
  <si>
    <t xml:space="preserve">11:22</t>
  </si>
  <si>
    <t xml:space="preserve">548-79-5956</t>
  </si>
  <si>
    <t xml:space="preserve">18:33</t>
  </si>
  <si>
    <t xml:space="preserve">459-67-1693</t>
  </si>
  <si>
    <t xml:space="preserve">16:54</t>
  </si>
  <si>
    <t xml:space="preserve">853-33-9176</t>
  </si>
  <si>
    <t xml:space="preserve">12:32</t>
  </si>
  <si>
    <t xml:space="preserve">151-84-8811</t>
  </si>
  <si>
    <t xml:space="preserve">12:27</t>
  </si>
  <si>
    <t xml:space="preserve">991-49-6562</t>
  </si>
  <si>
    <t xml:space="preserve">16:17</t>
  </si>
  <si>
    <t xml:space="preserve">423-25-9779</t>
  </si>
  <si>
    <t xml:space="preserve">20:11</t>
  </si>
  <si>
    <t xml:space="preserve">894-46-7236</t>
  </si>
  <si>
    <t xml:space="preserve">11:16</t>
  </si>
  <si>
    <t xml:space="preserve">326-52-3754</t>
  </si>
  <si>
    <t xml:space="preserve">10:58</t>
  </si>
  <si>
    <t xml:space="preserve">343-48-2996</t>
  </si>
  <si>
    <t xml:space="preserve">17:10</t>
  </si>
  <si>
    <t xml:space="preserve">458-49-7421</t>
  </si>
  <si>
    <t xml:space="preserve">20:43</t>
  </si>
  <si>
    <t xml:space="preserve">131-28-8179</t>
  </si>
  <si>
    <t xml:space="preserve">19:52</t>
  </si>
  <si>
    <t xml:space="preserve">348-99-4350</t>
  </si>
  <si>
    <t xml:space="preserve">19:18</t>
  </si>
  <si>
    <t xml:space="preserve">968-25-8478</t>
  </si>
  <si>
    <t xml:space="preserve">18:45</t>
  </si>
  <si>
    <t xml:space="preserve">223-41-4681</t>
  </si>
  <si>
    <t xml:space="preserve">564-74-8048</t>
  </si>
  <si>
    <t xml:space="preserve">14:21</t>
  </si>
  <si>
    <t xml:space="preserve">859-45-5012</t>
  </si>
  <si>
    <t xml:space="preserve">15:39</t>
  </si>
  <si>
    <t xml:space="preserve">294-22-2588</t>
  </si>
  <si>
    <t xml:space="preserve">13:03</t>
  </si>
  <si>
    <t xml:space="preserve">625-73-8635</t>
  </si>
  <si>
    <t xml:space="preserve">16:23</t>
  </si>
  <si>
    <t xml:space="preserve">214-47-8123</t>
  </si>
  <si>
    <t xml:space="preserve">18:13</t>
  </si>
  <si>
    <t xml:space="preserve">787-92-5915</t>
  </si>
  <si>
    <t xml:space="preserve">18:46</t>
  </si>
  <si>
    <t xml:space="preserve">533-24-5720</t>
  </si>
  <si>
    <t xml:space="preserve">12:25</t>
  </si>
  <si>
    <t xml:space="preserve">268-30-6286</t>
  </si>
  <si>
    <t xml:space="preserve">12:59</t>
  </si>
  <si>
    <t xml:space="preserve">926-64-1430</t>
  </si>
  <si>
    <t xml:space="preserve">13:52</t>
  </si>
  <si>
    <t xml:space="preserve">685-59-4826</t>
  </si>
  <si>
    <t xml:space="preserve">19:01</t>
  </si>
  <si>
    <t xml:space="preserve">168-21-2398</t>
  </si>
  <si>
    <t xml:space="preserve">20:39</t>
  </si>
  <si>
    <t xml:space="preserve">383-85-9595</t>
  </si>
  <si>
    <t xml:space="preserve">16:33</t>
  </si>
  <si>
    <t xml:space="preserve">887-21-4804</t>
  </si>
  <si>
    <t xml:space="preserve">944-10-9889</t>
  </si>
  <si>
    <t xml:space="preserve">14:04</t>
  </si>
  <si>
    <t xml:space="preserve">737-73-8242</t>
  </si>
  <si>
    <t xml:space="preserve">11:39</t>
  </si>
  <si>
    <t xml:space="preserve">547-61-8204</t>
  </si>
  <si>
    <t xml:space="preserve">10:12</t>
  </si>
  <si>
    <t xml:space="preserve">749-64-5533</t>
  </si>
  <si>
    <t xml:space="preserve">20:30</t>
  </si>
  <si>
    <t xml:space="preserve">390-75-6491</t>
  </si>
  <si>
    <t xml:space="preserve">13:01</t>
  </si>
  <si>
    <t xml:space="preserve">224-13-4920</t>
  </si>
  <si>
    <t xml:space="preserve">407-30-3852</t>
  </si>
  <si>
    <t xml:space="preserve">13:49</t>
  </si>
  <si>
    <t xml:space="preserve">920-89-8538</t>
  </si>
  <si>
    <t xml:space="preserve">11:57</t>
  </si>
  <si>
    <t xml:space="preserve">990-58-7154</t>
  </si>
  <si>
    <t xml:space="preserve">17:57</t>
  </si>
  <si>
    <t xml:space="preserve">943-39-5055</t>
  </si>
  <si>
    <t xml:space="preserve">13:31</t>
  </si>
  <si>
    <t xml:space="preserve">839-43-9201</t>
  </si>
  <si>
    <t xml:space="preserve">15:33</t>
  </si>
  <si>
    <t xml:space="preserve">295-20-4954</t>
  </si>
  <si>
    <t xml:space="preserve">17:52</t>
  </si>
  <si>
    <t xml:space="preserve">382-63-6568</t>
  </si>
  <si>
    <t xml:space="preserve">18:54</t>
  </si>
  <si>
    <t xml:space="preserve">536-97-2768</t>
  </si>
  <si>
    <t xml:space="preserve">10:07</t>
  </si>
  <si>
    <t xml:space="preserve">652-26-8744</t>
  </si>
  <si>
    <t xml:space="preserve">14:34</t>
  </si>
  <si>
    <t xml:space="preserve">928-70-4178</t>
  </si>
  <si>
    <t xml:space="preserve">14:33</t>
  </si>
  <si>
    <t xml:space="preserve">151-52-4990</t>
  </si>
  <si>
    <t xml:space="preserve">11:10</t>
  </si>
  <si>
    <t xml:space="preserve">582-13-6374</t>
  </si>
  <si>
    <t xml:space="preserve">15:49</t>
  </si>
  <si>
    <t xml:space="preserve">966-81-6992</t>
  </si>
  <si>
    <t xml:space="preserve">10:21</t>
  </si>
  <si>
    <t xml:space="preserve">967-57-2514</t>
  </si>
  <si>
    <t xml:space="preserve">13:33</t>
  </si>
  <si>
    <t xml:space="preserve">443-46-8444</t>
  </si>
  <si>
    <t xml:space="preserve">14:40</t>
  </si>
  <si>
    <t xml:space="preserve">790-20-5458</t>
  </si>
  <si>
    <t xml:space="preserve">15:11</t>
  </si>
  <si>
    <t xml:space="preserve">134-19-1794</t>
  </si>
  <si>
    <t xml:space="preserve">15:27</t>
  </si>
  <si>
    <t xml:space="preserve">522-98-4340</t>
  </si>
  <si>
    <t xml:space="preserve">13:07</t>
  </si>
  <si>
    <t xml:space="preserve">761-72-8342</t>
  </si>
  <si>
    <t xml:space="preserve">14:22</t>
  </si>
  <si>
    <t xml:space="preserve">909-73-1430</t>
  </si>
  <si>
    <t xml:space="preserve">17:32</t>
  </si>
  <si>
    <t xml:space="preserve">341-23-3399</t>
  </si>
  <si>
    <t xml:space="preserve">20:03</t>
  </si>
  <si>
    <t xml:space="preserve">781-42-7132</t>
  </si>
  <si>
    <t xml:space="preserve">16:44</t>
  </si>
  <si>
    <t xml:space="preserve">743-22-1645</t>
  </si>
  <si>
    <t xml:space="preserve">15:08</t>
  </si>
  <si>
    <t xml:space="preserve">985-18-5573</t>
  </si>
  <si>
    <t xml:space="preserve">10:18</t>
  </si>
  <si>
    <t xml:space="preserve">392-64-8973</t>
  </si>
  <si>
    <t xml:space="preserve">19:17</t>
  </si>
  <si>
    <t xml:space="preserve">472-65-2146</t>
  </si>
  <si>
    <t xml:space="preserve">17:50</t>
  </si>
  <si>
    <t xml:space="preserve">556-87-7981</t>
  </si>
  <si>
    <t xml:space="preserve">16:32</t>
  </si>
  <si>
    <t xml:space="preserve">434-61-5844</t>
  </si>
  <si>
    <t xml:space="preserve">12:11</t>
  </si>
  <si>
    <t xml:space="preserve">610-47-9337</t>
  </si>
  <si>
    <t xml:space="preserve">13:25</t>
  </si>
  <si>
    <t xml:space="preserve">841-31-8657</t>
  </si>
  <si>
    <t xml:space="preserve">14:28</t>
  </si>
  <si>
    <t xml:space="preserve">322-66-8285</t>
  </si>
  <si>
    <t xml:space="preserve">17:26</t>
  </si>
  <si>
    <t xml:space="preserve">402-29-4214</t>
  </si>
  <si>
    <t xml:space="preserve">14:48</t>
  </si>
  <si>
    <t xml:space="preserve">712-15-8078</t>
  </si>
  <si>
    <t xml:space="preserve">12:55</t>
  </si>
  <si>
    <t xml:space="preserve">638-62-7708</t>
  </si>
  <si>
    <t xml:space="preserve">16:36</t>
  </si>
  <si>
    <t xml:space="preserve">667-23-9452</t>
  </si>
  <si>
    <t xml:space="preserve">18:17</t>
  </si>
  <si>
    <t xml:space="preserve">288-78-8758</t>
  </si>
  <si>
    <t xml:space="preserve">17:47</t>
  </si>
  <si>
    <t xml:space="preserve">327-35-8541</t>
  </si>
  <si>
    <t xml:space="preserve">13:00</t>
  </si>
  <si>
    <t xml:space="preserve">324-27-9348</t>
  </si>
  <si>
    <t xml:space="preserve">12:09</t>
  </si>
  <si>
    <t xml:space="preserve">696-80-3426</t>
  </si>
  <si>
    <t xml:space="preserve">16:19</t>
  </si>
  <si>
    <t xml:space="preserve">173-60-1693</t>
  </si>
  <si>
    <t xml:space="preserve">14:50</t>
  </si>
  <si>
    <t xml:space="preserve">381-11-1803</t>
  </si>
  <si>
    <t xml:space="preserve">16:11</t>
  </si>
  <si>
    <t xml:space="preserve">575-82-8354</t>
  </si>
  <si>
    <t xml:space="preserve">980-52-2160</t>
  </si>
  <si>
    <t xml:space="preserve">11:20</t>
  </si>
  <si>
    <t xml:space="preserve">370-24-2753</t>
  </si>
  <si>
    <t xml:space="preserve">18:55</t>
  </si>
  <si>
    <t xml:space="preserve">548-76-8397</t>
  </si>
  <si>
    <t xml:space="preserve">14:20</t>
  </si>
  <si>
    <t xml:space="preserve">986-93-6438</t>
  </si>
  <si>
    <t xml:space="preserve">588-10-6763</t>
  </si>
  <si>
    <t xml:space="preserve">13:17</t>
  </si>
  <si>
    <t xml:space="preserve">567-29-9446</t>
  </si>
  <si>
    <t xml:space="preserve">13:13</t>
  </si>
  <si>
    <t xml:space="preserve">923-70-9508</t>
  </si>
  <si>
    <t xml:space="preserve">20:31</t>
  </si>
  <si>
    <t xml:space="preserve">977-83-7232</t>
  </si>
  <si>
    <t xml:space="preserve">16:02</t>
  </si>
  <si>
    <t xml:space="preserve">206-83-9313</t>
  </si>
  <si>
    <t xml:space="preserve">16:15</t>
  </si>
  <si>
    <t xml:space="preserve">204-99-5941</t>
  </si>
  <si>
    <t xml:space="preserve">17:49</t>
  </si>
  <si>
    <t xml:space="preserve">112-12-9673</t>
  </si>
  <si>
    <t xml:space="preserve">19:00</t>
  </si>
  <si>
    <t xml:space="preserve">398-14-4792</t>
  </si>
  <si>
    <t xml:space="preserve">17:20</t>
  </si>
  <si>
    <t xml:space="preserve">395-46-8438</t>
  </si>
  <si>
    <t xml:space="preserve">11:23</t>
  </si>
  <si>
    <t xml:space="preserve">790-83-1339</t>
  </si>
  <si>
    <t xml:space="preserve">16:45</t>
  </si>
  <si>
    <t xml:space="preserve">826-30-6091</t>
  </si>
  <si>
    <t xml:space="preserve">16:39</t>
  </si>
  <si>
    <t xml:space="preserve">143-39-4463</t>
  </si>
  <si>
    <t xml:space="preserve">10:39</t>
  </si>
  <si>
    <t xml:space="preserve">681-96-4164</t>
  </si>
  <si>
    <t xml:space="preserve">19:28</t>
  </si>
  <si>
    <t xml:space="preserve">810-72-4279</t>
  </si>
  <si>
    <t xml:space="preserve">11:44</t>
  </si>
  <si>
    <t xml:space="preserve">928-24-6417</t>
  </si>
  <si>
    <t xml:space="preserve">573-58-5422</t>
  </si>
  <si>
    <t xml:space="preserve">15:01</t>
  </si>
  <si>
    <t xml:space="preserve">609-90-9938</t>
  </si>
  <si>
    <t xml:space="preserve">16:53</t>
  </si>
  <si>
    <t xml:space="preserve">723-91-3803</t>
  </si>
  <si>
    <t xml:space="preserve">14:19</t>
  </si>
  <si>
    <t xml:space="preserve">348-16-9700</t>
  </si>
  <si>
    <t xml:space="preserve">16:47</t>
  </si>
  <si>
    <t xml:space="preserve">768-70-8822</t>
  </si>
  <si>
    <t xml:space="preserve">13:50</t>
  </si>
  <si>
    <t xml:space="preserve">381-91-1939</t>
  </si>
  <si>
    <t xml:space="preserve">20:34</t>
  </si>
  <si>
    <t xml:space="preserve">787-93-7118</t>
  </si>
  <si>
    <t xml:space="preserve">14:17</t>
  </si>
  <si>
    <t xml:space="preserve">716-75-7576</t>
  </si>
  <si>
    <t xml:space="preserve">18:48</t>
  </si>
  <si>
    <t xml:space="preserve">493-71-2747</t>
  </si>
  <si>
    <t xml:space="preserve">871-40-3724</t>
  </si>
  <si>
    <t xml:space="preserve">10:41</t>
  </si>
  <si>
    <t xml:space="preserve">949-90-6925</t>
  </si>
  <si>
    <t xml:space="preserve">15:36</t>
  </si>
  <si>
    <t xml:space="preserve">195-38-2858</t>
  </si>
  <si>
    <t xml:space="preserve">13:55</t>
  </si>
  <si>
    <t xml:space="preserve">182-51-3430</t>
  </si>
  <si>
    <t xml:space="preserve">586-88-2193</t>
  </si>
  <si>
    <t xml:space="preserve">18:36</t>
  </si>
  <si>
    <t xml:space="preserve">377-49-5118</t>
  </si>
  <si>
    <t xml:space="preserve">20:59</t>
  </si>
  <si>
    <t xml:space="preserve">729-78-2530</t>
  </si>
  <si>
    <t xml:space="preserve">13:04</t>
  </si>
  <si>
    <t xml:space="preserve">234-11-6869</t>
  </si>
  <si>
    <t xml:space="preserve">943-83-2208</t>
  </si>
  <si>
    <t xml:space="preserve">15:46</t>
  </si>
  <si>
    <t xml:space="preserve">703-45-1106</t>
  </si>
  <si>
    <t xml:space="preserve">18:24</t>
  </si>
  <si>
    <t xml:space="preserve">561-66-5871</t>
  </si>
  <si>
    <t xml:space="preserve">13:37</t>
  </si>
  <si>
    <t xml:space="preserve">412-82-1986</t>
  </si>
  <si>
    <t xml:space="preserve">726-21-2077</t>
  </si>
  <si>
    <t xml:space="preserve">394-66-8941</t>
  </si>
  <si>
    <t xml:space="preserve">14:45</t>
  </si>
  <si>
    <t xml:space="preserve">189-97-6236</t>
  </si>
  <si>
    <t xml:space="preserve">954-20-8705</t>
  </si>
  <si>
    <t xml:space="preserve">13:24</t>
  </si>
  <si>
    <t xml:space="preserve">891-28-5758</t>
  </si>
  <si>
    <t xml:space="preserve">14:03</t>
  </si>
  <si>
    <t xml:space="preserve">919-23-5073</t>
  </si>
  <si>
    <t xml:space="preserve">18:56</t>
  </si>
  <si>
    <t xml:space="preserve">319-88-5678</t>
  </si>
  <si>
    <t xml:space="preserve">15:51</t>
  </si>
  <si>
    <t xml:space="preserve">334-18-1514</t>
  </si>
  <si>
    <t xml:space="preserve">795-86-1857</t>
  </si>
  <si>
    <t xml:space="preserve">16:40</t>
  </si>
  <si>
    <t xml:space="preserve">908-90-6482</t>
  </si>
  <si>
    <t xml:space="preserve">12:51</t>
  </si>
  <si>
    <t xml:space="preserve">146-61-1838</t>
  </si>
  <si>
    <t xml:space="preserve">12:54</t>
  </si>
  <si>
    <t xml:space="preserve">330-92-3441</t>
  </si>
  <si>
    <t xml:space="preserve">18:19</t>
  </si>
  <si>
    <t xml:space="preserve">430-41-2419</t>
  </si>
  <si>
    <t xml:space="preserve">14:09</t>
  </si>
  <si>
    <t xml:space="preserve">513-25-5033</t>
  </si>
  <si>
    <t xml:space="preserve">13:10</t>
  </si>
  <si>
    <t xml:space="preserve">651-79-4613</t>
  </si>
  <si>
    <t xml:space="preserve">15:06</t>
  </si>
  <si>
    <t xml:space="preserve">235-75-7806</t>
  </si>
  <si>
    <t xml:space="preserve">764-62-2911</t>
  </si>
  <si>
    <t xml:space="preserve">18:09</t>
  </si>
  <si>
    <t xml:space="preserve">472-75-3621</t>
  </si>
  <si>
    <t xml:space="preserve">762-20-8369</t>
  </si>
  <si>
    <t xml:space="preserve">915-17-5806</t>
  </si>
  <si>
    <t xml:space="preserve">11:26</t>
  </si>
  <si>
    <t xml:space="preserve">243-71-6301</t>
  </si>
  <si>
    <t xml:space="preserve">17:34</t>
  </si>
  <si>
    <t xml:space="preserve">554-88-5668</t>
  </si>
  <si>
    <t xml:space="preserve">13:53</t>
  </si>
  <si>
    <t xml:space="preserve">885-27-5186</t>
  </si>
  <si>
    <t xml:space="preserve">761-32-1641</t>
  </si>
  <si>
    <t xml:space="preserve">17:30</t>
  </si>
  <si>
    <t xml:space="preserve">436-28-1046</t>
  </si>
  <si>
    <t xml:space="preserve">17:41</t>
  </si>
  <si>
    <t xml:space="preserve">358-55-5379</t>
  </si>
  <si>
    <t xml:space="preserve">11:17</t>
  </si>
  <si>
    <t xml:space="preserve">237-59-4978</t>
  </si>
  <si>
    <t xml:space="preserve">17:00</t>
  </si>
  <si>
    <t xml:space="preserve">605-66-2317</t>
  </si>
  <si>
    <t xml:space="preserve">20:36</t>
  </si>
  <si>
    <t xml:space="preserve">860-80-3546</t>
  </si>
  <si>
    <t xml:space="preserve">15:58</t>
  </si>
  <si>
    <t xml:space="preserve">735-42-3240</t>
  </si>
  <si>
    <t xml:space="preserve">933-80-1601</t>
  </si>
  <si>
    <t xml:space="preserve">17:02</t>
  </si>
  <si>
    <t xml:space="preserve">466-36-5088</t>
  </si>
  <si>
    <t xml:space="preserve">958-19-6580</t>
  </si>
  <si>
    <t xml:space="preserve">15:54</t>
  </si>
  <si>
    <t xml:space="preserve">341-59-2337</t>
  </si>
  <si>
    <t xml:space="preserve">16:26</t>
  </si>
  <si>
    <t xml:space="preserve">437-39-7223</t>
  </si>
  <si>
    <t xml:space="preserve">19:02</t>
  </si>
  <si>
    <t xml:space="preserve">808-41-6016</t>
  </si>
  <si>
    <t xml:space="preserve">812-71-3986</t>
  </si>
  <si>
    <t xml:space="preserve">12:21</t>
  </si>
  <si>
    <t xml:space="preserve">401-38-7625</t>
  </si>
  <si>
    <t xml:space="preserve">545-32-9548</t>
  </si>
  <si>
    <t xml:space="preserve">19:25</t>
  </si>
  <si>
    <t xml:space="preserve">920-20-7955</t>
  </si>
  <si>
    <t xml:space="preserve">13:39</t>
  </si>
  <si>
    <t xml:space="preserve">348-70-7669</t>
  </si>
  <si>
    <t xml:space="preserve">14:25</t>
  </si>
  <si>
    <t xml:space="preserve">926-15-8527</t>
  </si>
  <si>
    <t xml:space="preserve">10:17</t>
  </si>
  <si>
    <t xml:space="preserve">673-45-5715</t>
  </si>
  <si>
    <t xml:space="preserve">13:43</t>
  </si>
  <si>
    <t xml:space="preserve">854-52-7745</t>
  </si>
  <si>
    <t xml:space="preserve">11:05</t>
  </si>
  <si>
    <t xml:space="preserve">199-40-9807</t>
  </si>
  <si>
    <t xml:space="preserve">11:49</t>
  </si>
  <si>
    <t xml:space="preserve">530-95-7211</t>
  </si>
  <si>
    <t xml:space="preserve">10:30</t>
  </si>
  <si>
    <t xml:space="preserve">258-19-5846</t>
  </si>
  <si>
    <t xml:space="preserve">16:00</t>
  </si>
  <si>
    <t xml:space="preserve">583-14-5703</t>
  </si>
  <si>
    <t xml:space="preserve">20:16</t>
  </si>
  <si>
    <t xml:space="preserve">359-14-4131</t>
  </si>
  <si>
    <t xml:space="preserve">18:25</t>
  </si>
  <si>
    <t xml:space="preserve">157-91-1154</t>
  </si>
  <si>
    <t xml:space="preserve">17:13</t>
  </si>
  <si>
    <t xml:space="preserve">162-71-7580</t>
  </si>
  <si>
    <t xml:space="preserve">20:40</t>
  </si>
  <si>
    <t xml:space="preserve">868-23-7965</t>
  </si>
  <si>
    <t xml:space="preserve">11:58</t>
  </si>
  <si>
    <t xml:space="preserve">319-53-8967</t>
  </si>
  <si>
    <t xml:space="preserve">783-25-8625</t>
  </si>
  <si>
    <t xml:space="preserve">17:59</t>
  </si>
  <si>
    <t xml:space="preserve">192-60-1228</t>
  </si>
  <si>
    <t xml:space="preserve">10:26</t>
  </si>
  <si>
    <t xml:space="preserve">814-26-9042</t>
  </si>
  <si>
    <t xml:space="preserve">20:45</t>
  </si>
  <si>
    <t xml:space="preserve">912-56-9335</t>
  </si>
  <si>
    <t xml:space="preserve">10:05</t>
  </si>
  <si>
    <t xml:space="preserve">129-33-5477</t>
  </si>
  <si>
    <t xml:space="preserve">10:10</t>
  </si>
  <si>
    <t xml:space="preserve">603-19-1878</t>
  </si>
  <si>
    <t xml:space="preserve">750-68-3506</t>
  </si>
  <si>
    <t xml:space="preserve">460-99-8434</t>
  </si>
  <si>
    <t xml:space="preserve">13:18</t>
  </si>
  <si>
    <t xml:space="preserve">329-23-6736</t>
  </si>
  <si>
    <t xml:space="preserve">16:30</t>
  </si>
  <si>
    <t xml:space="preserve">678-41-4700</t>
  </si>
  <si>
    <t xml:space="preserve">13:23</t>
  </si>
  <si>
    <t xml:space="preserve">295-12-8225</t>
  </si>
  <si>
    <t xml:space="preserve">18:49</t>
  </si>
  <si>
    <t xml:space="preserve">151-93-9856</t>
  </si>
  <si>
    <t xml:space="preserve">11:59</t>
  </si>
  <si>
    <t xml:space="preserve">870-67-4833</t>
  </si>
  <si>
    <t xml:space="preserve">14:54</t>
  </si>
  <si>
    <t xml:space="preserve">923-85-4555</t>
  </si>
  <si>
    <t xml:space="preserve">169-29-1149</t>
  </si>
  <si>
    <t xml:space="preserve">12:38</t>
  </si>
  <si>
    <t xml:space="preserve">966-16-2512</t>
  </si>
  <si>
    <t xml:space="preserve">426-22-6493</t>
  </si>
  <si>
    <t xml:space="preserve">15:38</t>
  </si>
  <si>
    <t xml:space="preserve">125-15-5011</t>
  </si>
  <si>
    <t xml:space="preserve">13:34</t>
  </si>
  <si>
    <t xml:space="preserve">711-77-5831</t>
  </si>
  <si>
    <t xml:space="preserve">10:00</t>
  </si>
  <si>
    <t xml:space="preserve">171-28-1502</t>
  </si>
  <si>
    <t xml:space="preserve">14:06</t>
  </si>
  <si>
    <t xml:space="preserve">550-63-8933</t>
  </si>
  <si>
    <t xml:space="preserve">19:36</t>
  </si>
  <si>
    <t xml:space="preserve">819-31-2354</t>
  </si>
  <si>
    <t xml:space="preserve">17:45</t>
  </si>
  <si>
    <t xml:space="preserve">195-40-6085</t>
  </si>
  <si>
    <t xml:space="preserve">18:31</t>
  </si>
  <si>
    <t xml:space="preserve">205-11-5658</t>
  </si>
  <si>
    <t xml:space="preserve">20:35</t>
  </si>
  <si>
    <t xml:space="preserve">687-61-7843</t>
  </si>
  <si>
    <t xml:space="preserve">12:36</t>
  </si>
  <si>
    <t xml:space="preserve">568-40-4524</t>
  </si>
  <si>
    <t xml:space="preserve">13:45</t>
  </si>
  <si>
    <t xml:space="preserve">766-35-5706</t>
  </si>
  <si>
    <t xml:space="preserve">15:43</t>
  </si>
  <si>
    <t xml:space="preserve">576-99-5198</t>
  </si>
  <si>
    <t xml:space="preserve">20:17</t>
  </si>
  <si>
    <t xml:space="preserve">612-54-1879</t>
  </si>
  <si>
    <t xml:space="preserve">15:41</t>
  </si>
  <si>
    <t xml:space="preserve">797-27-1084</t>
  </si>
  <si>
    <t xml:space="preserve">148-40-7878</t>
  </si>
  <si>
    <t xml:space="preserve">20:25</t>
  </si>
  <si>
    <t xml:space="preserve">932-99-8054</t>
  </si>
  <si>
    <t xml:space="preserve">11:18</t>
  </si>
  <si>
    <t xml:space="preserve">806-25-5833</t>
  </si>
  <si>
    <t xml:space="preserve">20:15</t>
  </si>
  <si>
    <t xml:space="preserve">584-80-9698</t>
  </si>
  <si>
    <t xml:space="preserve">16:43</t>
  </si>
  <si>
    <t xml:space="preserve">499-43-8454</t>
  </si>
  <si>
    <t xml:space="preserve">12:33</t>
  </si>
  <si>
    <t xml:space="preserve">251-93-1090</t>
  </si>
  <si>
    <t xml:space="preserve">11:52</t>
  </si>
  <si>
    <t xml:space="preserve">493-69-1672</t>
  </si>
  <si>
    <t xml:space="preserve">520-74-8726</t>
  </si>
  <si>
    <t xml:space="preserve">11:06</t>
  </si>
  <si>
    <t xml:space="preserve">526-81-9683</t>
  </si>
  <si>
    <t xml:space="preserve">163-36-7883</t>
  </si>
  <si>
    <t xml:space="preserve">201-99-2874</t>
  </si>
  <si>
    <t xml:space="preserve">20:21</t>
  </si>
  <si>
    <t xml:space="preserve">439-96-2795</t>
  </si>
  <si>
    <t xml:space="preserve">19:59</t>
  </si>
  <si>
    <t xml:space="preserve">471-49-3953</t>
  </si>
  <si>
    <t xml:space="preserve">549-39-9843</t>
  </si>
  <si>
    <t xml:space="preserve">411-46-4443</t>
  </si>
  <si>
    <t xml:space="preserve">162-50-1936</t>
  </si>
  <si>
    <t xml:space="preserve">590-36-6455</t>
  </si>
  <si>
    <t xml:space="preserve">12:02</t>
  </si>
  <si>
    <t xml:space="preserve">482-30-9837</t>
  </si>
  <si>
    <t xml:space="preserve">162-81-3869</t>
  </si>
  <si>
    <t xml:space="preserve">18:08</t>
  </si>
  <si>
    <t xml:space="preserve">755-98-4598</t>
  </si>
  <si>
    <t xml:space="preserve">11:00</t>
  </si>
  <si>
    <t xml:space="preserve">256-97-8770</t>
  </si>
  <si>
    <t xml:space="preserve">15:18</t>
  </si>
  <si>
    <t xml:space="preserve">754-89-8489</t>
  </si>
  <si>
    <t xml:space="preserve">11:04</t>
  </si>
  <si>
    <t xml:space="preserve">369-84-8019</t>
  </si>
  <si>
    <t xml:space="preserve">225-44-8366</t>
  </si>
  <si>
    <t xml:space="preserve">914-60-2294</t>
  </si>
  <si>
    <t xml:space="preserve">994-19-4082</t>
  </si>
  <si>
    <t xml:space="preserve">478-46-3584</t>
  </si>
  <si>
    <t xml:space="preserve">153-26-7897</t>
  </si>
  <si>
    <t xml:space="preserve">305-26-9837</t>
  </si>
  <si>
    <t xml:space="preserve">249-41-9702</t>
  </si>
  <si>
    <t xml:space="preserve">446-89-7512</t>
  </si>
  <si>
    <t xml:space="preserve">252-48-7167</t>
  </si>
  <si>
    <t xml:space="preserve">16:35</t>
  </si>
  <si>
    <t xml:space="preserve">984-88-7850</t>
  </si>
  <si>
    <t xml:space="preserve">691-86-6253</t>
  </si>
  <si>
    <t xml:space="preserve">12:52</t>
  </si>
  <si>
    <t xml:space="preserve">805-17-3589</t>
  </si>
  <si>
    <t xml:space="preserve">15:57</t>
  </si>
  <si>
    <t xml:space="preserve">669-73-1768</t>
  </si>
  <si>
    <t xml:space="preserve">16:06</t>
  </si>
  <si>
    <t xml:space="preserve">182-97-9835</t>
  </si>
  <si>
    <t xml:space="preserve">13:29</t>
  </si>
  <si>
    <t xml:space="preserve">956-11-2528</t>
  </si>
  <si>
    <t xml:space="preserve">10:33</t>
  </si>
  <si>
    <t xml:space="preserve">331-91-4814</t>
  </si>
  <si>
    <t xml:space="preserve">12:18</t>
  </si>
  <si>
    <t xml:space="preserve">219-97-4365</t>
  </si>
  <si>
    <t xml:space="preserve">15:42</t>
  </si>
  <si>
    <t xml:space="preserve">965-48-4263</t>
  </si>
  <si>
    <t xml:space="preserve">679-22-9653</t>
  </si>
  <si>
    <t xml:space="preserve">19:09</t>
  </si>
  <si>
    <t xml:space="preserve">709-18-4853</t>
  </si>
  <si>
    <t xml:space="preserve">225-68-2501</t>
  </si>
  <si>
    <t xml:space="preserve">20:55</t>
  </si>
  <si>
    <t xml:space="preserve">965-81-7022</t>
  </si>
  <si>
    <t xml:space="preserve">190-65-2734</t>
  </si>
  <si>
    <t xml:space="preserve">10:35</t>
  </si>
  <si>
    <t xml:space="preserve">997-56-9697</t>
  </si>
  <si>
    <t xml:space="preserve">283-50-1256</t>
  </si>
  <si>
    <t xml:space="preserve">778-37-1349</t>
  </si>
  <si>
    <t xml:space="preserve">16:31</t>
  </si>
  <si>
    <t xml:space="preserve">529-85-3531</t>
  </si>
  <si>
    <t xml:space="preserve">15:16</t>
  </si>
  <si>
    <t xml:space="preserve">974-76-8239</t>
  </si>
  <si>
    <t xml:space="preserve">14:49</t>
  </si>
  <si>
    <t xml:space="preserve">766-44-9817</t>
  </si>
  <si>
    <t xml:space="preserve">274-77-7229</t>
  </si>
  <si>
    <t xml:space="preserve">20:48</t>
  </si>
  <si>
    <t xml:space="preserve">599-37-6813</t>
  </si>
  <si>
    <t xml:space="preserve">984-90-6179</t>
  </si>
  <si>
    <t xml:space="preserve">479-57-8273</t>
  </si>
  <si>
    <t xml:space="preserve">952-34-5853</t>
  </si>
  <si>
    <t xml:space="preserve">905-74-1333</t>
  </si>
  <si>
    <t xml:space="preserve">10:22</t>
  </si>
  <si>
    <t xml:space="preserve">279-26-7229</t>
  </si>
  <si>
    <t xml:space="preserve">15:50</t>
  </si>
  <si>
    <t xml:space="preserve">631-46-2292</t>
  </si>
  <si>
    <t xml:space="preserve">20:06</t>
  </si>
  <si>
    <t xml:space="preserve">425-70-7246</t>
  </si>
  <si>
    <t xml:space="preserve">915-98-1436</t>
  </si>
  <si>
    <t xml:space="preserve">11:51</t>
  </si>
  <si>
    <t xml:space="preserve">275-94-6531</t>
  </si>
  <si>
    <t xml:space="preserve">18:52</t>
  </si>
  <si>
    <t xml:space="preserve">521-98-9117</t>
  </si>
  <si>
    <t xml:space="preserve">12:16</t>
  </si>
  <si>
    <t xml:space="preserve">417-81-7171</t>
  </si>
  <si>
    <t xml:space="preserve">14:57</t>
  </si>
  <si>
    <t xml:space="preserve">546-85-5397</t>
  </si>
  <si>
    <t xml:space="preserve">13:35</t>
  </si>
  <si>
    <t xml:space="preserve">287-45-8579</t>
  </si>
  <si>
    <t xml:space="preserve">10:45</t>
  </si>
  <si>
    <t xml:space="preserve">726-93-9666</t>
  </si>
  <si>
    <t xml:space="preserve">492-40-8319</t>
  </si>
  <si>
    <t xml:space="preserve">11:53</t>
  </si>
  <si>
    <t xml:space="preserve">455-78-8018</t>
  </si>
  <si>
    <t xml:space="preserve">14:15</t>
  </si>
  <si>
    <t xml:space="preserve">421-93-5566</t>
  </si>
  <si>
    <t xml:space="preserve">20:46</t>
  </si>
  <si>
    <t xml:space="preserve">372-28-2169</t>
  </si>
  <si>
    <t xml:space="preserve">15:05</t>
  </si>
  <si>
    <t xml:space="preserve">322-17-3295</t>
  </si>
  <si>
    <t xml:space="preserve">17:08</t>
  </si>
  <si>
    <t xml:space="preserve">706-84-3526</t>
  </si>
  <si>
    <t xml:space="preserve">880-41-2341</t>
  </si>
  <si>
    <t xml:space="preserve">627-69-9171</t>
  </si>
  <si>
    <t xml:space="preserve">292-76-6927</t>
  </si>
  <si>
    <t xml:space="preserve">18:44</t>
  </si>
  <si>
    <t xml:space="preserve">976-62-1715</t>
  </si>
  <si>
    <t xml:space="preserve">268-58-1035</t>
  </si>
  <si>
    <t xml:space="preserve">20:51</t>
  </si>
  <si>
    <t xml:space="preserve">508-63-2557</t>
  </si>
  <si>
    <t xml:space="preserve">19:08</t>
  </si>
  <si>
    <t xml:space="preserve">821-36-9011</t>
  </si>
  <si>
    <t xml:space="preserve">785-24-4571</t>
  </si>
  <si>
    <t xml:space="preserve">13:08</t>
  </si>
  <si>
    <t xml:space="preserve">434-53-7211</t>
  </si>
  <si>
    <t xml:space="preserve">10:54</t>
  </si>
  <si>
    <t xml:space="preserve">594-41-7653</t>
  </si>
  <si>
    <t xml:space="preserve">18:53</t>
  </si>
  <si>
    <t xml:space="preserve">688-47-5837</t>
  </si>
  <si>
    <t xml:space="preserve">11:46</t>
  </si>
  <si>
    <t xml:space="preserve">167-26-5505</t>
  </si>
  <si>
    <t xml:space="preserve">15:34</t>
  </si>
  <si>
    <t xml:space="preserve">630-59-2929</t>
  </si>
  <si>
    <t xml:space="preserve">10:06</t>
  </si>
  <si>
    <t xml:space="preserve">379-25-7029</t>
  </si>
  <si>
    <t xml:space="preserve">11:07</t>
  </si>
  <si>
    <t xml:space="preserve">801-51-1916</t>
  </si>
  <si>
    <t xml:space="preserve">19:51</t>
  </si>
  <si>
    <t xml:space="preserve">317-93-9179</t>
  </si>
  <si>
    <t xml:space="preserve">236-15-6772</t>
  </si>
  <si>
    <t xml:space="preserve">20:53</t>
  </si>
  <si>
    <t xml:space="preserve">775-72-1257</t>
  </si>
  <si>
    <t xml:space="preserve">658-14-7049</t>
  </si>
  <si>
    <t xml:space="preserve">198-77-3439</t>
  </si>
  <si>
    <t xml:space="preserve">12:14</t>
  </si>
  <si>
    <t xml:space="preserve">460-74-2215</t>
  </si>
  <si>
    <t xml:space="preserve">448-33-1841</t>
  </si>
  <si>
    <t xml:space="preserve">358-51-2899</t>
  </si>
  <si>
    <t xml:space="preserve">498-53-7624</t>
  </si>
  <si>
    <t xml:space="preserve">482-61-8520</t>
  </si>
  <si>
    <t xml:space="preserve">921-95-5065</t>
  </si>
  <si>
    <t xml:space="preserve">20:28</t>
  </si>
  <si>
    <t xml:space="preserve">711-93-8710</t>
  </si>
  <si>
    <t xml:space="preserve">12:08</t>
  </si>
  <si>
    <t xml:space="preserve">577-78-6886</t>
  </si>
  <si>
    <t xml:space="preserve">578-80-3126</t>
  </si>
  <si>
    <t xml:space="preserve">492-98-3503</t>
  </si>
  <si>
    <t xml:space="preserve">19:14</t>
  </si>
  <si>
    <t xml:space="preserve">620-56-1298</t>
  </si>
  <si>
    <t xml:space="preserve">691-34-2139</t>
  </si>
  <si>
    <t xml:space="preserve">20:26</t>
  </si>
  <si>
    <t xml:space="preserve">524-44-4531</t>
  </si>
  <si>
    <t xml:space="preserve">353-66-8199</t>
  </si>
  <si>
    <t xml:space="preserve">13:51</t>
  </si>
  <si>
    <t xml:space="preserve">683-41-9180</t>
  </si>
  <si>
    <t xml:space="preserve">15:15</t>
  </si>
  <si>
    <t xml:space="preserve">476-96-8218</t>
  </si>
  <si>
    <t xml:space="preserve">10:03</t>
  </si>
  <si>
    <t xml:space="preserve">187-72-2133</t>
  </si>
  <si>
    <t xml:space="preserve">14:08</t>
  </si>
  <si>
    <t xml:space="preserve">909-98-2284</t>
  </si>
  <si>
    <t xml:space="preserve">17:06</t>
  </si>
  <si>
    <t xml:space="preserve">109-48-2758</t>
  </si>
  <si>
    <t xml:space="preserve">15:47</t>
  </si>
  <si>
    <t xml:space="preserve">383-28-3129</t>
  </si>
  <si>
    <t xml:space="preserve">151-43-7211</t>
  </si>
  <si>
    <t xml:space="preserve">11:14</t>
  </si>
  <si>
    <t xml:space="preserve">256-68-7121</t>
  </si>
  <si>
    <t xml:space="preserve">19:34</t>
  </si>
  <si>
    <t xml:space="preserve">586-12-7035</t>
  </si>
  <si>
    <t xml:space="preserve">14:59</t>
  </si>
  <si>
    <t xml:space="preserve">444-13-9098</t>
  </si>
  <si>
    <t xml:space="preserve">112-63-9031</t>
  </si>
  <si>
    <t xml:space="preserve">16:52</t>
  </si>
  <si>
    <t xml:space="preserve">180-65-3956</t>
  </si>
  <si>
    <t xml:space="preserve">575-16-5082</t>
  </si>
  <si>
    <t xml:space="preserve">12:20</t>
  </si>
  <si>
    <t xml:space="preserve">486-68-6272</t>
  </si>
  <si>
    <t xml:space="preserve">16:08</t>
  </si>
  <si>
    <t xml:space="preserve">407-97-2320</t>
  </si>
  <si>
    <t xml:space="preserve">14:02</t>
  </si>
  <si>
    <t xml:space="preserve">802-57-9920</t>
  </si>
  <si>
    <t xml:space="preserve">10:34</t>
  </si>
  <si>
    <t xml:space="preserve">416-66-1546</t>
  </si>
  <si>
    <t xml:space="preserve">990-34-4912</t>
  </si>
  <si>
    <t xml:space="preserve">15:59</t>
  </si>
  <si>
    <t xml:space="preserve">668-40-8800</t>
  </si>
  <si>
    <t xml:space="preserve">231-22-7453</t>
  </si>
  <si>
    <t xml:space="preserve">800-45-9897</t>
  </si>
  <si>
    <t xml:space="preserve">12:49</t>
  </si>
  <si>
    <t xml:space="preserve">175-66-6661</t>
  </si>
  <si>
    <t xml:space="preserve">14:43</t>
  </si>
  <si>
    <t xml:space="preserve">306-78-5442</t>
  </si>
  <si>
    <t xml:space="preserve">17:40</t>
  </si>
  <si>
    <t xml:space="preserve">843-48-9022</t>
  </si>
  <si>
    <t xml:space="preserve">602-66-2204</t>
  </si>
  <si>
    <t xml:space="preserve">20:12</t>
  </si>
  <si>
    <t xml:space="preserve">410-11-4470</t>
  </si>
  <si>
    <t xml:space="preserve">908-40-6304</t>
  </si>
  <si>
    <t xml:space="preserve">13:48</t>
  </si>
  <si>
    <t xml:space="preserve">906-74-5377</t>
  </si>
  <si>
    <t xml:space="preserve">15:53</t>
  </si>
  <si>
    <t xml:space="preserve">565-57-5295</t>
  </si>
  <si>
    <t xml:space="preserve">414-30-7642</t>
  </si>
  <si>
    <t xml:space="preserve">971-33-2122</t>
  </si>
  <si>
    <t xml:space="preserve">750-72-2494</t>
  </si>
  <si>
    <t xml:space="preserve">13:46</t>
  </si>
  <si>
    <t xml:space="preserve">750-69-5951</t>
  </si>
  <si>
    <t xml:space="preserve">10:56</t>
  </si>
  <si>
    <t xml:space="preserve">536-80-8305</t>
  </si>
  <si>
    <t xml:space="preserve">19:10</t>
  </si>
  <si>
    <t xml:space="preserve">602-39-6829</t>
  </si>
  <si>
    <t xml:space="preserve">291-95-2402</t>
  </si>
  <si>
    <t xml:space="preserve">945-89-2946</t>
  </si>
  <si>
    <t xml:space="preserve">496-62-6543</t>
  </si>
  <si>
    <t xml:space="preserve">406-30-4939</t>
  </si>
  <si>
    <t xml:space="preserve">296-34-9786</t>
  </si>
  <si>
    <t xml:space="preserve">711-46-2647</t>
  </si>
  <si>
    <t xml:space="preserve">508-26-7070</t>
  </si>
  <si>
    <t xml:space="preserve">12:43</t>
  </si>
  <si>
    <t xml:space="preserve">672-69-6049</t>
  </si>
  <si>
    <t xml:space="preserve">15:09</t>
  </si>
  <si>
    <t xml:space="preserve">237-43-6992</t>
  </si>
  <si>
    <t xml:space="preserve">582-78-4578</t>
  </si>
  <si>
    <t xml:space="preserve">523-53-8430</t>
  </si>
  <si>
    <t xml:space="preserve">346-38-5927</t>
  </si>
  <si>
    <t xml:space="preserve">19:46</t>
  </si>
  <si>
    <t xml:space="preserve">506-40-6269</t>
  </si>
  <si>
    <t xml:space="preserve">16:14</t>
  </si>
  <si>
    <t xml:space="preserve">898-81-7658</t>
  </si>
  <si>
    <t xml:space="preserve">18:29</t>
  </si>
  <si>
    <t xml:space="preserve">893-71-8616</t>
  </si>
  <si>
    <t xml:space="preserve">568-50-2188</t>
  </si>
  <si>
    <t xml:space="preserve">741-40-5499</t>
  </si>
  <si>
    <t xml:space="preserve">626-40-5562</t>
  </si>
  <si>
    <t xml:space="preserve">723-94-5381</t>
  </si>
  <si>
    <t xml:space="preserve">15:21</t>
  </si>
  <si>
    <t xml:space="preserve">340-44-6502</t>
  </si>
  <si>
    <t xml:space="preserve">329-25-4292</t>
  </si>
  <si>
    <t xml:space="preserve">19:03</t>
  </si>
  <si>
    <t xml:space="preserve">806-42-8484</t>
  </si>
  <si>
    <t xml:space="preserve">11:09</t>
  </si>
  <si>
    <t xml:space="preserve">625-85-2786</t>
  </si>
  <si>
    <t xml:space="preserve">14:37</t>
  </si>
  <si>
    <t xml:space="preserve">359-12-6850</t>
  </si>
  <si>
    <t xml:space="preserve">18:34</t>
  </si>
  <si>
    <t xml:space="preserve">605-27-9261</t>
  </si>
  <si>
    <t xml:space="preserve">19:19</t>
  </si>
  <si>
    <t xml:space="preserve">392-78-1133</t>
  </si>
  <si>
    <t xml:space="preserve">483-58-8348</t>
  </si>
  <si>
    <t xml:space="preserve">559-88-1086</t>
  </si>
  <si>
    <t xml:space="preserve">13:44</t>
  </si>
  <si>
    <t xml:space="preserve">649-25-7201</t>
  </si>
  <si>
    <t xml:space="preserve">19:30</t>
  </si>
  <si>
    <t xml:space="preserve">581-54-7690</t>
  </si>
  <si>
    <t xml:space="preserve">13:41</t>
  </si>
  <si>
    <t xml:space="preserve">647-14-3868</t>
  </si>
  <si>
    <t xml:space="preserve">435-21-7567</t>
  </si>
  <si>
    <t xml:space="preserve">20:19</t>
  </si>
  <si>
    <t xml:space="preserve">332-21-8110</t>
  </si>
  <si>
    <t xml:space="preserve">653-42-3858</t>
  </si>
  <si>
    <t xml:space="preserve">429-87-8792</t>
  </si>
  <si>
    <t xml:space="preserve">18:11</t>
  </si>
  <si>
    <t xml:space="preserve">236-69-9702</t>
  </si>
  <si>
    <t xml:space="preserve">448-45-3547</t>
  </si>
  <si>
    <t xml:space="preserve">404-68-2195</t>
  </si>
  <si>
    <t xml:space="preserve">330-35-3414</t>
  </si>
  <si>
    <t xml:space="preserve">14:53</t>
  </si>
  <si>
    <t xml:space="preserve">659-53-3868</t>
  </si>
  <si>
    <t xml:space="preserve">462-95-7929</t>
  </si>
  <si>
    <t xml:space="preserve">20:57</t>
  </si>
  <si>
    <t xml:space="preserve">355-24-1424</t>
  </si>
  <si>
    <t xml:space="preserve">129-15-6314</t>
  </si>
  <si>
    <t xml:space="preserve">10:27</t>
  </si>
  <si>
    <t xml:space="preserve">371-60-3144</t>
  </si>
  <si>
    <t xml:space="preserve">11:36</t>
  </si>
  <si>
    <t xml:space="preserve">707-53-9311</t>
  </si>
  <si>
    <t xml:space="preserve">349-65-7560</t>
  </si>
  <si>
    <t xml:space="preserve">14:35</t>
  </si>
  <si>
    <t xml:space="preserve">518-33-3218</t>
  </si>
  <si>
    <t xml:space="preserve">746-97-5708</t>
  </si>
  <si>
    <t xml:space="preserve">270-98-8272</t>
  </si>
  <si>
    <t xml:space="preserve">12:30</t>
  </si>
  <si>
    <t xml:space="preserve">883-96-5415</t>
  </si>
  <si>
    <t xml:space="preserve">12:44</t>
  </si>
  <si>
    <t xml:space="preserve">805-48-7594</t>
  </si>
  <si>
    <t xml:space="preserve">260-10-7693</t>
  </si>
  <si>
    <t xml:space="preserve">20:20</t>
  </si>
  <si>
    <t xml:space="preserve">796-24-9797</t>
  </si>
  <si>
    <t xml:space="preserve">20:09</t>
  </si>
  <si>
    <t xml:space="preserve">127-63-1872</t>
  </si>
  <si>
    <t xml:space="preserve">890-84-6447</t>
  </si>
  <si>
    <t xml:space="preserve">600-33-9882</t>
  </si>
  <si>
    <t xml:space="preserve">19:20</t>
  </si>
  <si>
    <t xml:space="preserve">971-25-5670</t>
  </si>
  <si>
    <t xml:space="preserve">279-88-7643</t>
  </si>
  <si>
    <t xml:space="preserve">10:11</t>
  </si>
  <si>
    <t xml:space="preserve">774-65-6804</t>
  </si>
  <si>
    <t xml:space="preserve">19:55</t>
  </si>
  <si>
    <t xml:space="preserve">833-68-1605</t>
  </si>
  <si>
    <t xml:space="preserve">700-37-4817</t>
  </si>
  <si>
    <t xml:space="preserve">11:03</t>
  </si>
  <si>
    <t xml:space="preserve">872-89-1815</t>
  </si>
  <si>
    <t xml:space="preserve">16:10</t>
  </si>
  <si>
    <t xml:space="preserve">981-24-3504</t>
  </si>
  <si>
    <t xml:space="preserve">449-30-7062</t>
  </si>
  <si>
    <t xml:space="preserve">757-17-9584</t>
  </si>
  <si>
    <t xml:space="preserve">664-11-7684</t>
  </si>
  <si>
    <t xml:space="preserve">194-58-2584</t>
  </si>
  <si>
    <t xml:space="preserve">698-58-7086</t>
  </si>
  <si>
    <t xml:space="preserve">554-31-5906</t>
  </si>
  <si>
    <t xml:space="preserve">19:58</t>
  </si>
  <si>
    <t xml:space="preserve">607-14-3068</t>
  </si>
  <si>
    <t xml:space="preserve">13:15</t>
  </si>
  <si>
    <t xml:space="preserve">779-25-5920</t>
  </si>
  <si>
    <t xml:space="preserve">18:10</t>
  </si>
  <si>
    <t xml:space="preserve">470-59-1530</t>
  </si>
  <si>
    <t xml:space="preserve">18:35</t>
  </si>
  <si>
    <t xml:space="preserve">765-20-6383</t>
  </si>
  <si>
    <t xml:space="preserve">243-15-1609</t>
  </si>
  <si>
    <t xml:space="preserve">702-80-4770</t>
  </si>
  <si>
    <t xml:space="preserve">16:59</t>
  </si>
  <si>
    <t xml:space="preserve">740-37-5335</t>
  </si>
  <si>
    <t xml:space="preserve">452-92-7244</t>
  </si>
  <si>
    <t xml:space="preserve">642-56-7521</t>
  </si>
  <si>
    <t xml:space="preserve">17:11</t>
  </si>
  <si>
    <t xml:space="preserve">852-51-5102</t>
  </si>
  <si>
    <t xml:space="preserve">18:26</t>
  </si>
  <si>
    <t xml:space="preserve">562-32-8292</t>
  </si>
  <si>
    <t xml:space="preserve">520-56-4891</t>
  </si>
  <si>
    <t xml:space="preserve">296-37-8933</t>
  </si>
  <si>
    <t xml:space="preserve">11:47</t>
  </si>
  <si>
    <t xml:space="preserve">627-81-2739</t>
  </si>
  <si>
    <t xml:space="preserve">10:38</t>
  </si>
  <si>
    <t xml:space="preserve">732-18-4846</t>
  </si>
  <si>
    <t xml:space="preserve">14:27</t>
  </si>
  <si>
    <t xml:space="preserve">646-40-6070</t>
  </si>
  <si>
    <t xml:space="preserve">15:32</t>
  </si>
  <si>
    <t xml:space="preserve">363-71-5835</t>
  </si>
  <si>
    <t xml:space="preserve">606-61-4997</t>
  </si>
  <si>
    <t xml:space="preserve">11:40</t>
  </si>
  <si>
    <t xml:space="preserve">546-72-1475</t>
  </si>
  <si>
    <t xml:space="preserve">19:05</t>
  </si>
  <si>
    <t xml:space="preserve">844-87-9647</t>
  </si>
  <si>
    <t xml:space="preserve">17:18</t>
  </si>
  <si>
    <t xml:space="preserve">716-29-2234</t>
  </si>
  <si>
    <t xml:space="preserve">510-44-2084</t>
  </si>
  <si>
    <t xml:space="preserve">894-39-6772</t>
  </si>
  <si>
    <t xml:space="preserve">13:28</t>
  </si>
  <si>
    <t xml:space="preserve">327-67-6727</t>
  </si>
  <si>
    <t xml:space="preserve">10:50</t>
  </si>
  <si>
    <t xml:space="preserve">735-29-4878</t>
  </si>
  <si>
    <t xml:space="preserve">341-92-7001</t>
  </si>
  <si>
    <t xml:space="preserve">964-22-9317</t>
  </si>
  <si>
    <t xml:space="preserve">862-57-3131</t>
  </si>
  <si>
    <t xml:space="preserve">771-84-4728</t>
  </si>
  <si>
    <t xml:space="preserve">10:44</t>
  </si>
  <si>
    <t xml:space="preserve">575-36-6573</t>
  </si>
  <si>
    <t xml:space="preserve">178-75-2868</t>
  </si>
  <si>
    <t xml:space="preserve">17:37</t>
  </si>
  <si>
    <t xml:space="preserve">396-51-2965</t>
  </si>
  <si>
    <t xml:space="preserve">19:48</t>
  </si>
  <si>
    <t xml:space="preserve">638-79-9312</t>
  </si>
  <si>
    <t xml:space="preserve">754-24-1409</t>
  </si>
  <si>
    <t xml:space="preserve">565-21-6153</t>
  </si>
  <si>
    <t xml:space="preserve">385-67-4995</t>
  </si>
  <si>
    <t xml:space="preserve">19:53</t>
  </si>
  <si>
    <t xml:space="preserve">579-19-3306</t>
  </si>
  <si>
    <t xml:space="preserve">17:55</t>
  </si>
  <si>
    <t xml:space="preserve">872-13-5051</t>
  </si>
  <si>
    <t xml:space="preserve">923-69-5712</t>
  </si>
  <si>
    <t xml:space="preserve">411-73-2902</t>
  </si>
  <si>
    <t xml:space="preserve">324-91-4115</t>
  </si>
  <si>
    <t xml:space="preserve">973-93-4522</t>
  </si>
  <si>
    <t xml:space="preserve">10:53</t>
  </si>
  <si>
    <t xml:space="preserve">671-96-7333</t>
  </si>
  <si>
    <t xml:space="preserve">988-98-8790</t>
  </si>
  <si>
    <t xml:space="preserve">495-94-3492</t>
  </si>
  <si>
    <t xml:space="preserve">15:40</t>
  </si>
  <si>
    <t xml:space="preserve">950-65-2502</t>
  </si>
  <si>
    <t xml:space="preserve">894-76-7232</t>
  </si>
  <si>
    <t xml:space="preserve">378-74-9847</t>
  </si>
  <si>
    <t xml:space="preserve">672-86-6198</t>
  </si>
  <si>
    <t xml:space="preserve">535-24-9922</t>
  </si>
  <si>
    <t xml:space="preserve">10:24</t>
  </si>
  <si>
    <t xml:space="preserve">674-35-9928</t>
  </si>
  <si>
    <t xml:space="preserve">17:39</t>
  </si>
  <si>
    <t xml:space="preserve">438-70-2647</t>
  </si>
  <si>
    <t xml:space="preserve">13:21</t>
  </si>
  <si>
    <t xml:space="preserve">877-30-7924</t>
  </si>
  <si>
    <t xml:space="preserve">792-79-2424</t>
  </si>
  <si>
    <t xml:space="preserve">17:09</t>
  </si>
  <si>
    <t xml:space="preserve">572-46-7256</t>
  </si>
  <si>
    <t xml:space="preserve">15:35</t>
  </si>
  <si>
    <t xml:space="preserve">865-63-3877</t>
  </si>
  <si>
    <t xml:space="preserve">18:47</t>
  </si>
  <si>
    <t xml:space="preserve">693-56-3153</t>
  </si>
  <si>
    <t xml:space="preserve">20:23</t>
  </si>
  <si>
    <t xml:space="preserve">318-61-1960</t>
  </si>
  <si>
    <t xml:space="preserve">16:49</t>
  </si>
  <si>
    <t xml:space="preserve">281-90-9095</t>
  </si>
  <si>
    <t xml:space="preserve">12:39</t>
  </si>
  <si>
    <t xml:space="preserve">882-10-7756</t>
  </si>
  <si>
    <t xml:space="preserve">185-92-8022</t>
  </si>
  <si>
    <t xml:space="preserve">991-93-3529</t>
  </si>
  <si>
    <t xml:space="preserve">18:41</t>
  </si>
  <si>
    <t xml:space="preserve">452-26-3981</t>
  </si>
  <si>
    <t xml:space="preserve">20:41</t>
  </si>
  <si>
    <t xml:space="preserve">892-51-1485</t>
  </si>
  <si>
    <t xml:space="preserve">428-46-1969</t>
  </si>
  <si>
    <t xml:space="preserve">941-18-7565</t>
  </si>
  <si>
    <t xml:space="preserve">639-95-6053</t>
  </si>
  <si>
    <t xml:space="preserve">10:16</t>
  </si>
  <si>
    <t xml:space="preserve">485-63-8432</t>
  </si>
  <si>
    <t xml:space="preserve">10:28</t>
  </si>
  <si>
    <t xml:space="preserve">382-34-2848</t>
  </si>
  <si>
    <t xml:space="preserve">614-77-7859</t>
  </si>
  <si>
    <t xml:space="preserve">16:25</t>
  </si>
  <si>
    <t xml:space="preserve">889-79-9626</t>
  </si>
  <si>
    <t xml:space="preserve">819-49-6567</t>
  </si>
  <si>
    <t xml:space="preserve">15:24</t>
  </si>
  <si>
    <t xml:space="preserve">880-98-4033</t>
  </si>
  <si>
    <t xml:space="preserve">18:06</t>
  </si>
  <si>
    <t xml:space="preserve">499-70-1713</t>
  </si>
  <si>
    <t xml:space="preserve">12:37</t>
  </si>
  <si>
    <t xml:space="preserve">258-34-5861</t>
  </si>
  <si>
    <t xml:space="preserve">17:01</t>
  </si>
  <si>
    <t xml:space="preserve">208-65-6934</t>
  </si>
  <si>
    <t xml:space="preserve">614-77-3579</t>
  </si>
  <si>
    <t xml:space="preserve">119-79-1853</t>
  </si>
  <si>
    <t xml:space="preserve">18:42</t>
  </si>
  <si>
    <t xml:space="preserve">809-40-2017</t>
  </si>
  <si>
    <t xml:space="preserve">20:47</t>
  </si>
  <si>
    <t xml:space="preserve">421-63-3481</t>
  </si>
  <si>
    <t xml:space="preserve">11:41</t>
  </si>
  <si>
    <t xml:space="preserve">640-87-7932</t>
  </si>
  <si>
    <t xml:space="preserve">467-57-8056</t>
  </si>
  <si>
    <t xml:space="preserve">16:24</t>
  </si>
  <si>
    <t xml:space="preserve">711-70-5350</t>
  </si>
  <si>
    <t xml:space="preserve">15:14</t>
  </si>
  <si>
    <t xml:space="preserve">609-84-3344</t>
  </si>
  <si>
    <t xml:space="preserve">648-34-1844</t>
  </si>
  <si>
    <t xml:space="preserve">15:10</t>
  </si>
  <si>
    <t xml:space="preserve">834-84-9008</t>
  </si>
  <si>
    <t xml:space="preserve">324-27-8834</t>
  </si>
  <si>
    <t xml:space="preserve">162-61-6559</t>
  </si>
  <si>
    <t xml:space="preserve">20:24</t>
  </si>
  <si>
    <t xml:space="preserve">328-13-4164</t>
  </si>
  <si>
    <t xml:space="preserve">390-42-3463</t>
  </si>
  <si>
    <t xml:space="preserve">15:23</t>
  </si>
  <si>
    <t xml:space="preserve">362-35-3842</t>
  </si>
  <si>
    <t xml:space="preserve">870-60-2260</t>
  </si>
  <si>
    <t xml:space="preserve">177-98-3442</t>
  </si>
  <si>
    <t xml:space="preserve">873-75-2864</t>
  </si>
  <si>
    <t xml:space="preserve">13:14</t>
  </si>
  <si>
    <t xml:space="preserve">711-78-1269</t>
  </si>
  <si>
    <t xml:space="preserve">576-66-8244</t>
  </si>
  <si>
    <t xml:space="preserve">12:40</t>
  </si>
  <si>
    <t xml:space="preserve">830-49-7537</t>
  </si>
  <si>
    <t xml:space="preserve">195-92-7937</t>
  </si>
  <si>
    <t xml:space="preserve">16:29</t>
  </si>
  <si>
    <t xml:space="preserve">228-90-5961</t>
  </si>
  <si>
    <t xml:space="preserve">352-45-5890</t>
  </si>
  <si>
    <t xml:space="preserve">720-73-5689</t>
  </si>
  <si>
    <t xml:space="preserve">17:43</t>
  </si>
  <si>
    <t xml:space="preserve">316-79-4295</t>
  </si>
  <si>
    <t xml:space="preserve">14:16</t>
  </si>
  <si>
    <t xml:space="preserve">390-96-8972</t>
  </si>
  <si>
    <t xml:space="preserve">309-48-4460</t>
  </si>
  <si>
    <t xml:space="preserve">11:11</t>
  </si>
  <si>
    <t xml:space="preserve">240-23-4920</t>
  </si>
  <si>
    <t xml:space="preserve">15:31</t>
  </si>
  <si>
    <t xml:space="preserve">489-45-8428</t>
  </si>
  <si>
    <t xml:space="preserve">15:37</t>
  </si>
  <si>
    <t xml:space="preserve">724-38-2035</t>
  </si>
  <si>
    <t xml:space="preserve">15:12</t>
  </si>
  <si>
    <t xml:space="preserve">706-98-4978</t>
  </si>
  <si>
    <t xml:space="preserve">344-26-8758</t>
  </si>
  <si>
    <t xml:space="preserve">17:33</t>
  </si>
  <si>
    <t xml:space="preserve">240-90-4791</t>
  </si>
  <si>
    <t xml:space="preserve">15:25</t>
  </si>
  <si>
    <t xml:space="preserve">631-36-6325</t>
  </si>
  <si>
    <t xml:space="preserve">11:37</t>
  </si>
  <si>
    <t xml:space="preserve">812-27-8685</t>
  </si>
  <si>
    <t xml:space="preserve">780-52-6143</t>
  </si>
  <si>
    <t xml:space="preserve">20:02</t>
  </si>
  <si>
    <t xml:space="preserve">560-69-9476</t>
  </si>
  <si>
    <t xml:space="preserve">13:58</t>
  </si>
  <si>
    <t xml:space="preserve">559-27-7912</t>
  </si>
  <si>
    <t xml:space="preserve">881-30-9163</t>
  </si>
  <si>
    <t xml:space="preserve">483-38-1461</t>
  </si>
  <si>
    <t xml:space="preserve">521-82-3950</t>
  </si>
  <si>
    <t xml:space="preserve">13:19</t>
  </si>
  <si>
    <t xml:space="preserve">353-28-2586</t>
  </si>
  <si>
    <t xml:space="preserve">13:40</t>
  </si>
  <si>
    <t xml:space="preserve">813-63-7688</t>
  </si>
  <si>
    <t xml:space="preserve">654-17-2130</t>
  </si>
  <si>
    <t xml:space="preserve">10:42</t>
  </si>
  <si>
    <t xml:space="preserve">195-65-2582</t>
  </si>
  <si>
    <t xml:space="preserve">838-16-8871</t>
  </si>
  <si>
    <t xml:space="preserve">423-43-4346</t>
  </si>
  <si>
    <t xml:space="preserve">426-40-8642</t>
  </si>
  <si>
    <t xml:space="preserve">19:47</t>
  </si>
  <si>
    <t xml:space="preserve">874-12-5888</t>
  </si>
  <si>
    <t xml:space="preserve">20:05</t>
  </si>
  <si>
    <t xml:space="preserve">217-45-4705</t>
  </si>
  <si>
    <t xml:space="preserve">645-39-9196</t>
  </si>
  <si>
    <t xml:space="preserve">638-67-9653</t>
  </si>
  <si>
    <t xml:space="preserve">971-51-3979</t>
  </si>
  <si>
    <t xml:space="preserve">458-38-2124</t>
  </si>
  <si>
    <t xml:space="preserve">16:37</t>
  </si>
  <si>
    <t xml:space="preserve">238-59-8432</t>
  </si>
  <si>
    <t xml:space="preserve">605-21-1771</t>
  </si>
  <si>
    <t xml:space="preserve">187-41-2940</t>
  </si>
  <si>
    <t xml:space="preserve">18:43</t>
  </si>
  <si>
    <t xml:space="preserve">193-77-4524</t>
  </si>
  <si>
    <t xml:space="preserve">835-28-5772</t>
  </si>
  <si>
    <t xml:space="preserve">11:42</t>
  </si>
  <si>
    <t xml:space="preserve">101-76-9821</t>
  </si>
  <si>
    <t xml:space="preserve">17:42</t>
  </si>
  <si>
    <t xml:space="preserve">452-64-6419</t>
  </si>
  <si>
    <t xml:space="preserve">18:57</t>
  </si>
  <si>
    <t xml:space="preserve">396-24-7636</t>
  </si>
  <si>
    <t xml:space="preserve">15:22</t>
  </si>
  <si>
    <t xml:space="preserve">261-68-1053</t>
  </si>
  <si>
    <t xml:space="preserve">415-73-1379</t>
  </si>
  <si>
    <t xml:space="preserve">18:22</t>
  </si>
  <si>
    <t xml:space="preserve">486-80-8798</t>
  </si>
  <si>
    <t xml:space="preserve">899-93-1659</t>
  </si>
  <si>
    <t xml:space="preserve">435-37-8449</t>
  </si>
  <si>
    <t xml:space="preserve">346-83-7825</t>
  </si>
  <si>
    <t xml:space="preserve">11:33</t>
  </si>
  <si>
    <t xml:space="preserve">915-45-1920</t>
  </si>
  <si>
    <t xml:space="preserve">711-58-3527</t>
  </si>
  <si>
    <t xml:space="preserve">11:34</t>
  </si>
  <si>
    <t xml:space="preserve">713-51-9005</t>
  </si>
  <si>
    <t xml:space="preserve">15:03</t>
  </si>
  <si>
    <t xml:space="preserve">889-26-5291</t>
  </si>
  <si>
    <t xml:space="preserve">420-64-6120</t>
  </si>
  <si>
    <t xml:space="preserve">574-96-9920</t>
  </si>
  <si>
    <t xml:space="preserve">826-38-6669</t>
  </si>
  <si>
    <t xml:space="preserve">872-38-7511</t>
  </si>
  <si>
    <t xml:space="preserve">838-66-1715</t>
  </si>
  <si>
    <t xml:space="preserve">332-56-3939</t>
  </si>
  <si>
    <t xml:space="preserve">666-58-8075</t>
  </si>
  <si>
    <t xml:space="preserve">10:51</t>
  </si>
  <si>
    <t xml:space="preserve">871-44-6400</t>
  </si>
  <si>
    <t xml:space="preserve">17:56</t>
  </si>
  <si>
    <t xml:space="preserve">546-12-8532</t>
  </si>
  <si>
    <t xml:space="preserve">374-58-1647</t>
  </si>
  <si>
    <t xml:space="preserve">378-46-4450</t>
  </si>
  <si>
    <t xml:space="preserve">865-71-4505</t>
  </si>
  <si>
    <t xml:space="preserve">18:04</t>
  </si>
  <si>
    <t xml:space="preserve">674-11-2832</t>
  </si>
  <si>
    <t xml:space="preserve">523-15-4625</t>
  </si>
  <si>
    <t xml:space="preserve">12:41</t>
  </si>
  <si>
    <t xml:space="preserve">415-43-6892</t>
  </si>
  <si>
    <t xml:space="preserve">10:14</t>
  </si>
  <si>
    <t xml:space="preserve">697-55-1797</t>
  </si>
  <si>
    <t xml:space="preserve">12:05</t>
  </si>
  <si>
    <t xml:space="preserve">273-27-9954</t>
  </si>
  <si>
    <t xml:space="preserve">18:39</t>
  </si>
  <si>
    <t xml:space="preserve">370-90-4241</t>
  </si>
  <si>
    <t xml:space="preserve">10:55</t>
  </si>
  <si>
    <t xml:space="preserve">350-15-7590</t>
  </si>
  <si>
    <t xml:space="preserve">126-21-4750</t>
  </si>
  <si>
    <t xml:space="preserve">384-63-5133</t>
  </si>
  <si>
    <t xml:space="preserve">12:24</t>
  </si>
  <si>
    <t xml:space="preserve">505-74-7126</t>
  </si>
  <si>
    <t xml:space="preserve">20:04</t>
  </si>
  <si>
    <t xml:space="preserve">669-17-6400</t>
  </si>
  <si>
    <t xml:space="preserve">508-52-5564</t>
  </si>
  <si>
    <t xml:space="preserve">13:27</t>
  </si>
  <si>
    <t xml:space="preserve">646-41-3677</t>
  </si>
  <si>
    <t xml:space="preserve">236-93-6697</t>
  </si>
  <si>
    <t xml:space="preserve">571-54-3541</t>
  </si>
  <si>
    <t xml:space="preserve">210-96-4830</t>
  </si>
  <si>
    <t xml:space="preserve">829-51-7240</t>
  </si>
  <si>
    <t xml:space="preserve">18:01</t>
  </si>
  <si>
    <t xml:space="preserve">560-83-4084</t>
  </si>
  <si>
    <t xml:space="preserve">392-55-1783</t>
  </si>
  <si>
    <t xml:space="preserve">15:00</t>
  </si>
  <si>
    <t xml:space="preserve">835-33-1230</t>
  </si>
  <si>
    <t xml:space="preserve">439-59-3292</t>
  </si>
  <si>
    <t xml:space="preserve">891-47-2307</t>
  </si>
  <si>
    <t xml:space="preserve">368-43-8311</t>
  </si>
  <si>
    <t xml:space="preserve">560-75-3414</t>
  </si>
  <si>
    <t xml:space="preserve">19:13</t>
  </si>
  <si>
    <t xml:space="preserve">354-30-6364</t>
  </si>
  <si>
    <t xml:space="preserve">769-93-1519</t>
  </si>
  <si>
    <t xml:space="preserve">18:32</t>
  </si>
  <si>
    <t xml:space="preserve">561-80-5582</t>
  </si>
  <si>
    <t xml:space="preserve">17:24</t>
  </si>
  <si>
    <t xml:space="preserve">882-61-6995</t>
  </si>
  <si>
    <t xml:space="preserve">17:04</t>
  </si>
  <si>
    <t xml:space="preserve">396-92-5949</t>
  </si>
  <si>
    <t xml:space="preserve">471-80-5728</t>
  </si>
  <si>
    <t xml:space="preserve">228-82-4362</t>
  </si>
  <si>
    <t xml:space="preserve">953-72-7686</t>
  </si>
  <si>
    <t xml:space="preserve">613-44-3695</t>
  </si>
  <si>
    <t xml:space="preserve">11:38</t>
  </si>
  <si>
    <t xml:space="preserve">630-29-5982</t>
  </si>
  <si>
    <t xml:space="preserve">608-98-9151</t>
  </si>
  <si>
    <t xml:space="preserve">290-97-7227</t>
  </si>
  <si>
    <t xml:space="preserve">786-25-7730</t>
  </si>
  <si>
    <t xml:space="preserve">505-92-8517</t>
  </si>
  <si>
    <t xml:space="preserve">878-78-3060</t>
  </si>
  <si>
    <t xml:space="preserve">200-70-6246</t>
  </si>
  <si>
    <t xml:space="preserve">859-28-1265</t>
  </si>
  <si>
    <t xml:space="preserve">778-71-9609</t>
  </si>
  <si>
    <t xml:space="preserve">17:31</t>
  </si>
  <si>
    <t xml:space="preserve">935-83-6224</t>
  </si>
  <si>
    <t xml:space="preserve">19:27</t>
  </si>
  <si>
    <t xml:space="preserve">221-32-9802</t>
  </si>
  <si>
    <t xml:space="preserve">868-69-7209</t>
  </si>
  <si>
    <t xml:space="preserve">19:22</t>
  </si>
  <si>
    <t xml:space="preserve">915-82-1672</t>
  </si>
  <si>
    <t xml:space="preserve">17:03</t>
  </si>
  <si>
    <t xml:space="preserve">130-21-4582</t>
  </si>
  <si>
    <t xml:space="preserve">873-66-9270</t>
  </si>
  <si>
    <t xml:space="preserve">308-57-6126</t>
  </si>
  <si>
    <t xml:space="preserve">20:50</t>
  </si>
  <si>
    <t xml:space="preserve">523-48-5508</t>
  </si>
  <si>
    <t xml:space="preserve">970-97-2983</t>
  </si>
  <si>
    <t xml:space="preserve">11:28</t>
  </si>
  <si>
    <t xml:space="preserve">419-51-2391</t>
  </si>
  <si>
    <t xml:space="preserve">13:06</t>
  </si>
  <si>
    <t xml:space="preserve">193-75-8298</t>
  </si>
  <si>
    <t xml:space="preserve">116-32-5347</t>
  </si>
  <si>
    <t xml:space="preserve">533-54-2044</t>
  </si>
  <si>
    <t xml:space="preserve">14:10</t>
  </si>
  <si>
    <t xml:space="preserve">145-10-6464</t>
  </si>
  <si>
    <t xml:space="preserve">948-80-9281</t>
  </si>
  <si>
    <t xml:space="preserve">17:44</t>
  </si>
  <si>
    <t xml:space="preserve">210-84-1420</t>
  </si>
  <si>
    <t xml:space="preserve">19:39</t>
  </si>
  <si>
    <t xml:space="preserve">159-40-2290</t>
  </si>
  <si>
    <t xml:space="preserve">195-61-7213</t>
  </si>
  <si>
    <t xml:space="preserve">982-50-6658</t>
  </si>
  <si>
    <t xml:space="preserve">330-48-5735</t>
  </si>
  <si>
    <t xml:space="preserve">614-17-3034</t>
  </si>
  <si>
    <t xml:space="preserve">14:11</t>
  </si>
  <si>
    <t xml:space="preserve">739-91-9984</t>
  </si>
  <si>
    <t xml:space="preserve">386-86-5526</t>
  </si>
  <si>
    <t xml:space="preserve">11:29</t>
  </si>
  <si>
    <t xml:space="preserve">636-20-7484</t>
  </si>
  <si>
    <t xml:space="preserve">928-17-8429</t>
  </si>
  <si>
    <t xml:space="preserve">16:38</t>
  </si>
  <si>
    <t xml:space="preserve">925-32-2753</t>
  </si>
  <si>
    <t xml:space="preserve">690-15-3870</t>
  </si>
  <si>
    <t xml:space="preserve">948-75-9721</t>
  </si>
  <si>
    <t xml:space="preserve">719-29-8371</t>
  </si>
  <si>
    <t xml:space="preserve">951-98-6928</t>
  </si>
  <si>
    <t xml:space="preserve">334-14-6168</t>
  </si>
  <si>
    <t xml:space="preserve">10:02</t>
  </si>
  <si>
    <t xml:space="preserve">667-26-4143</t>
  </si>
  <si>
    <t xml:space="preserve">365-41-5543</t>
  </si>
  <si>
    <t xml:space="preserve">885-57-3749</t>
  </si>
  <si>
    <t xml:space="preserve">304-12-3496</t>
  </si>
  <si>
    <t xml:space="preserve">175-78-4492</t>
  </si>
  <si>
    <t xml:space="preserve">439-13-2889</t>
  </si>
  <si>
    <t xml:space="preserve">15:07</t>
  </si>
  <si>
    <t xml:space="preserve">550-19-5681</t>
  </si>
  <si>
    <t xml:space="preserve">417-69-8404</t>
  </si>
  <si>
    <t xml:space="preserve">878-16-4335</t>
  </si>
  <si>
    <t xml:space="preserve">18:12</t>
  </si>
  <si>
    <t xml:space="preserve">367-93-6890</t>
  </si>
  <si>
    <t xml:space="preserve">708-14-8314</t>
  </si>
  <si>
    <t xml:space="preserve">14:31</t>
  </si>
  <si>
    <t xml:space="preserve">231-94-8787</t>
  </si>
  <si>
    <t xml:space="preserve">13:30</t>
  </si>
  <si>
    <t xml:space="preserve">307-83-9792</t>
  </si>
  <si>
    <t xml:space="preserve">766-36-7825</t>
  </si>
  <si>
    <t xml:space="preserve">834-53-4335</t>
  </si>
  <si>
    <t xml:space="preserve">20:10</t>
  </si>
  <si>
    <t xml:space="preserve">476-88-4618</t>
  </si>
  <si>
    <t xml:space="preserve">680-59-9856</t>
  </si>
  <si>
    <t xml:space="preserve">672-95-6802</t>
  </si>
  <si>
    <t xml:space="preserve">320-29-9991</t>
  </si>
  <si>
    <t xml:space="preserve">225-27-2213</t>
  </si>
  <si>
    <t xml:space="preserve">311-18-2653</t>
  </si>
  <si>
    <t xml:space="preserve">11:50</t>
  </si>
  <si>
    <t xml:space="preserve">785-22-4027</t>
  </si>
  <si>
    <t xml:space="preserve">16:16</t>
  </si>
  <si>
    <t xml:space="preserve">580-66-5961</t>
  </si>
  <si>
    <t xml:space="preserve">200-91-2646</t>
  </si>
  <si>
    <t xml:space="preserve">14:23</t>
  </si>
  <si>
    <t xml:space="preserve">266-68-5215</t>
  </si>
  <si>
    <t xml:space="preserve">360-15-8144</t>
  </si>
  <si>
    <t xml:space="preserve">328-27-2679</t>
  </si>
  <si>
    <t xml:space="preserve">12:46</t>
  </si>
  <si>
    <t xml:space="preserve">165-53-1344</t>
  </si>
  <si>
    <t xml:space="preserve">750-59-7116</t>
  </si>
  <si>
    <t xml:space="preserve">978-28-8586</t>
  </si>
  <si>
    <t xml:space="preserve">724-22-4404</t>
  </si>
  <si>
    <t xml:space="preserve">230-89-9751</t>
  </si>
  <si>
    <t xml:space="preserve">151-46-9108</t>
  </si>
  <si>
    <t xml:space="preserve">13:36</t>
  </si>
  <si>
    <t xml:space="preserve">961-91-9317</t>
  </si>
  <si>
    <t xml:space="preserve">395-94-7561</t>
  </si>
  <si>
    <t xml:space="preserve">119-24-6947</t>
  </si>
  <si>
    <t xml:space="preserve">322-17-9883</t>
  </si>
  <si>
    <t xml:space="preserve">158-75-2312</t>
  </si>
  <si>
    <t xml:space="preserve">509-96-9785</t>
  </si>
  <si>
    <t xml:space="preserve">15:56</t>
  </si>
  <si>
    <t xml:space="preserve">459-92-9346</t>
  </si>
  <si>
    <t xml:space="preserve">408-68-1510</t>
  </si>
  <si>
    <t xml:space="preserve">153-22-7771</t>
  </si>
  <si>
    <t xml:space="preserve">14:12</t>
  </si>
  <si>
    <t xml:space="preserve">910-28-3254</t>
  </si>
  <si>
    <t xml:space="preserve">984-16-2612</t>
  </si>
  <si>
    <t xml:space="preserve">980-85-8025</t>
  </si>
  <si>
    <t xml:space="preserve">10:59</t>
  </si>
  <si>
    <t xml:space="preserve">251-97-4968</t>
  </si>
  <si>
    <t xml:space="preserve">138-94-6517</t>
  </si>
  <si>
    <t xml:space="preserve">17:54</t>
  </si>
  <si>
    <t xml:space="preserve">495-53-4060</t>
  </si>
  <si>
    <t xml:space="preserve">107-73-8055</t>
  </si>
  <si>
    <t xml:space="preserve">18:20</t>
  </si>
  <si>
    <t xml:space="preserve">167-52-2548</t>
  </si>
  <si>
    <t xml:space="preserve">494-83-4114</t>
  </si>
  <si>
    <t xml:space="preserve">12:07</t>
  </si>
  <si>
    <t xml:space="preserve">373-80-3146</t>
  </si>
  <si>
    <t xml:space="preserve">658-47-6262</t>
  </si>
  <si>
    <t xml:space="preserve">663-93-6530</t>
  </si>
  <si>
    <t xml:space="preserve">978-30-6403</t>
  </si>
  <si>
    <t xml:space="preserve">712-96-1797</t>
  </si>
  <si>
    <t xml:space="preserve">132-83-2800</t>
  </si>
  <si>
    <t xml:space="preserve">20:27</t>
  </si>
  <si>
    <t xml:space="preserve">151-47-7293</t>
  </si>
  <si>
    <t xml:space="preserve">15:04</t>
  </si>
  <si>
    <t xml:space="preserve">229-45-1745</t>
  </si>
  <si>
    <t xml:space="preserve">881-19-3255</t>
  </si>
  <si>
    <t xml:space="preserve">161-31-6039</t>
  </si>
  <si>
    <t xml:space="preserve">18:38</t>
  </si>
  <si>
    <t xml:space="preserve">243-51-6218</t>
  </si>
  <si>
    <t xml:space="preserve">911-12-2524</t>
  </si>
  <si>
    <t xml:space="preserve">886-26-8088</t>
  </si>
  <si>
    <t xml:space="preserve">361-36-6411</t>
  </si>
  <si>
    <t xml:space="preserve">427-79-2320</t>
  </si>
  <si>
    <t xml:space="preserve">109-68-2638</t>
  </si>
  <si>
    <t xml:space="preserve">14:30</t>
  </si>
  <si>
    <t xml:space="preserve">312-85-3362</t>
  </si>
  <si>
    <t xml:space="preserve">17:21</t>
  </si>
  <si>
    <t xml:space="preserve">172-90-1964</t>
  </si>
  <si>
    <t xml:space="preserve">14:29</t>
  </si>
  <si>
    <t xml:space="preserve">355-19-8260</t>
  </si>
  <si>
    <t xml:space="preserve">907-18-6649</t>
  </si>
  <si>
    <t xml:space="preserve">19:04</t>
  </si>
  <si>
    <t xml:space="preserve">782-23-6794</t>
  </si>
  <si>
    <t xml:space="preserve">916-43-6576</t>
  </si>
  <si>
    <t xml:space="preserve">11:55</t>
  </si>
  <si>
    <t xml:space="preserve">482-53-6990</t>
  </si>
  <si>
    <t xml:space="preserve">572-25-3522</t>
  </si>
  <si>
    <t xml:space="preserve">121-51-3815</t>
  </si>
  <si>
    <t xml:space="preserve">18:00</t>
  </si>
  <si>
    <t xml:space="preserve">570-78-6608</t>
  </si>
  <si>
    <t xml:space="preserve">159-81-7761</t>
  </si>
  <si>
    <t xml:space="preserve">12:17</t>
  </si>
  <si>
    <t xml:space="preserve">724-71-4150</t>
  </si>
  <si>
    <t xml:space="preserve">19:24</t>
  </si>
  <si>
    <t xml:space="preserve">760-55-1992</t>
  </si>
  <si>
    <t xml:space="preserve">15:44</t>
  </si>
  <si>
    <t xml:space="preserve">525-99-9998</t>
  </si>
  <si>
    <t xml:space="preserve">349-68-3369</t>
  </si>
  <si>
    <t xml:space="preserve">14:38</t>
  </si>
  <si>
    <t xml:space="preserve">498-84-1320</t>
  </si>
  <si>
    <t xml:space="preserve">12:22</t>
  </si>
  <si>
    <t xml:space="preserve">143-46-2294</t>
  </si>
  <si>
    <t xml:space="preserve">691-50-4110</t>
  </si>
  <si>
    <t xml:space="preserve">14:58</t>
  </si>
  <si>
    <t xml:space="preserve">636-76-3600</t>
  </si>
  <si>
    <t xml:space="preserve">636-56-2108</t>
  </si>
  <si>
    <t xml:space="preserve">972-96-9742</t>
  </si>
  <si>
    <t xml:space="preserve">10:46</t>
  </si>
  <si>
    <t xml:space="preserve">176-70-5342</t>
  </si>
  <si>
    <t xml:space="preserve">202-77-8486</t>
  </si>
  <si>
    <t xml:space="preserve">756-71-7081</t>
  </si>
  <si>
    <t xml:space="preserve">14:42</t>
  </si>
  <si>
    <t xml:space="preserve">584-31-2389</t>
  </si>
  <si>
    <t xml:space="preserve">127-60-1444</t>
  </si>
  <si>
    <t xml:space="preserve">20:08</t>
  </si>
  <si>
    <t xml:space="preserve">185-30-5469</t>
  </si>
  <si>
    <t xml:space="preserve">360-10-4570</t>
  </si>
  <si>
    <t xml:space="preserve">164-24-9189</t>
  </si>
  <si>
    <t xml:space="preserve">19:06</t>
  </si>
  <si>
    <t xml:space="preserve">785-50-4910</t>
  </si>
  <si>
    <t xml:space="preserve">354-10-5272</t>
  </si>
  <si>
    <t xml:space="preserve">516-72-8886</t>
  </si>
  <si>
    <t xml:space="preserve">19:38</t>
  </si>
  <si>
    <t xml:space="preserve">880-32-9317</t>
  </si>
  <si>
    <t xml:space="preserve">18:07</t>
  </si>
  <si>
    <t xml:space="preserve">476-76-5369</t>
  </si>
  <si>
    <t xml:space="preserve">911-27-4878</t>
  </si>
  <si>
    <t xml:space="preserve">697-61-6930</t>
  </si>
  <si>
    <t xml:space="preserve">868-44-6573</t>
  </si>
  <si>
    <t xml:space="preserve">17:58</t>
  </si>
  <si>
    <t xml:space="preserve">179-50-8033</t>
  </si>
  <si>
    <t xml:space="preserve">986-29-8316</t>
  </si>
  <si>
    <t xml:space="preserve">14:47</t>
  </si>
  <si>
    <t xml:space="preserve">692-86-1651</t>
  </si>
  <si>
    <t xml:space="preserve">14:36</t>
  </si>
  <si>
    <t xml:space="preserve">615-47-4836</t>
  </si>
  <si>
    <t xml:space="preserve">580-71-8216</t>
  </si>
  <si>
    <t xml:space="preserve">13:59</t>
  </si>
  <si>
    <t xml:space="preserve">472-57-5634</t>
  </si>
  <si>
    <t xml:space="preserve">562-74-4629</t>
  </si>
  <si>
    <t xml:space="preserve">453-50-8149</t>
  </si>
  <si>
    <t xml:space="preserve">783-54-2063</t>
  </si>
  <si>
    <t xml:space="preserve">17:51</t>
  </si>
  <si>
    <t xml:space="preserve">146-94-4733</t>
  </si>
  <si>
    <t xml:space="preserve">16:55</t>
  </si>
  <si>
    <t xml:space="preserve">479-95-9850</t>
  </si>
  <si>
    <t xml:space="preserve">13:57</t>
  </si>
  <si>
    <t xml:space="preserve">579-44-4159</t>
  </si>
  <si>
    <t xml:space="preserve">241-29-4788</t>
  </si>
  <si>
    <t xml:space="preserve">940-10-5634</t>
  </si>
  <si>
    <t xml:space="preserve">729-15-9543</t>
  </si>
  <si>
    <t xml:space="preserve">16:56</t>
  </si>
  <si>
    <t xml:space="preserve">617-72-5114</t>
  </si>
  <si>
    <t xml:space="preserve">266-33-3712</t>
  </si>
  <si>
    <t xml:space="preserve">15:28</t>
  </si>
  <si>
    <t xml:space="preserve">180-80-5803</t>
  </si>
  <si>
    <t xml:space="preserve">232-86-2388</t>
  </si>
  <si>
    <t xml:space="preserve">793-79-3588</t>
  </si>
  <si>
    <t xml:space="preserve">246-43-3287</t>
  </si>
  <si>
    <t xml:space="preserve">797-82-6295</t>
  </si>
  <si>
    <t xml:space="preserve">820-56-2279</t>
  </si>
  <si>
    <t xml:space="preserve">16:01</t>
  </si>
  <si>
    <t xml:space="preserve">896-30-6096</t>
  </si>
  <si>
    <t xml:space="preserve">175-59-9261</t>
  </si>
  <si>
    <t xml:space="preserve">393-12-9228</t>
  </si>
  <si>
    <t xml:space="preserve">20:29</t>
  </si>
  <si>
    <t xml:space="preserve">323-74-8471</t>
  </si>
  <si>
    <t xml:space="preserve">710-18-7304</t>
  </si>
  <si>
    <t xml:space="preserve">773-84-9565</t>
  </si>
  <si>
    <t xml:space="preserve">13:56</t>
  </si>
  <si>
    <t xml:space="preserve">999-49-4923</t>
  </si>
  <si>
    <t xml:space="preserve">704-64-1520</t>
  </si>
  <si>
    <t xml:space="preserve">341-56-2627</t>
  </si>
  <si>
    <t xml:space="preserve">803-95-4228</t>
  </si>
  <si>
    <t xml:space="preserve">19:37</t>
  </si>
  <si>
    <t xml:space="preserve">990-22-8213</t>
  </si>
  <si>
    <t xml:space="preserve">11:12</t>
  </si>
  <si>
    <t xml:space="preserve">170-80-4394</t>
  </si>
  <si>
    <t xml:space="preserve">254-66-2118</t>
  </si>
  <si>
    <t xml:space="preserve">386-14-7070</t>
  </si>
  <si>
    <t xml:space="preserve">651-71-6654</t>
  </si>
  <si>
    <t xml:space="preserve">10:49</t>
  </si>
  <si>
    <t xml:space="preserve">945-13-2330</t>
  </si>
  <si>
    <t xml:space="preserve">423-49-9444</t>
  </si>
  <si>
    <t xml:space="preserve">724-58-4945</t>
  </si>
  <si>
    <t xml:space="preserve">11:02</t>
  </si>
  <si>
    <t xml:space="preserve">567-82-1945</t>
  </si>
  <si>
    <t xml:space="preserve">16:07</t>
  </si>
  <si>
    <t xml:space="preserve">663-79-5757</t>
  </si>
  <si>
    <t xml:space="preserve">16:03</t>
  </si>
  <si>
    <t xml:space="preserve">975-39-2654</t>
  </si>
  <si>
    <t xml:space="preserve">15:52</t>
  </si>
  <si>
    <t xml:space="preserve">540-67-4743</t>
  </si>
  <si>
    <t xml:space="preserve">132-94-7868</t>
  </si>
  <si>
    <t xml:space="preserve">17:46</t>
  </si>
  <si>
    <t xml:space="preserve">338-74-1434</t>
  </si>
  <si>
    <t xml:space="preserve">776-20-3573</t>
  </si>
  <si>
    <t xml:space="preserve">822-44-7807</t>
  </si>
  <si>
    <t xml:space="preserve">192-60-9281</t>
  </si>
  <si>
    <t xml:space="preserve">320-53-2674</t>
  </si>
  <si>
    <t xml:space="preserve">910-35-1686</t>
  </si>
  <si>
    <t xml:space="preserve">192-47-6352</t>
  </si>
  <si>
    <t xml:space="preserve">489-50-8994</t>
  </si>
  <si>
    <t xml:space="preserve">17:05</t>
  </si>
  <si>
    <t xml:space="preserve">253-31-6375</t>
  </si>
  <si>
    <t xml:space="preserve">998-43-3925</t>
  </si>
  <si>
    <t xml:space="preserve">844-92-3419</t>
  </si>
  <si>
    <t xml:space="preserve">659-55-5331</t>
  </si>
  <si>
    <t xml:space="preserve">534-78-7214</t>
  </si>
  <si>
    <t xml:space="preserve">19:35</t>
  </si>
  <si>
    <t xml:space="preserve">507-45-4109</t>
  </si>
  <si>
    <t xml:space="preserve">469-80-7044</t>
  </si>
  <si>
    <t xml:space="preserve">346-34-9625</t>
  </si>
  <si>
    <t xml:space="preserve">356-35-5496</t>
  </si>
  <si>
    <t xml:space="preserve">729-12-4943</t>
  </si>
  <si>
    <t xml:space="preserve">663-30-7666</t>
  </si>
  <si>
    <t xml:space="preserve">671-63-4697</t>
  </si>
  <si>
    <t xml:space="preserve">15:20</t>
  </si>
  <si>
    <t xml:space="preserve">581-76-8245</t>
  </si>
  <si>
    <t xml:space="preserve">238-69-3977</t>
  </si>
  <si>
    <t xml:space="preserve">13:11</t>
  </si>
  <si>
    <t xml:space="preserve">482-17-8916</t>
  </si>
  <si>
    <t xml:space="preserve">10:04</t>
  </si>
  <si>
    <t xml:space="preserve">459-10-3972</t>
  </si>
  <si>
    <t xml:space="preserve">122-94-7484</t>
  </si>
  <si>
    <t xml:space="preserve">17:19</t>
  </si>
  <si>
    <t xml:space="preserve">844-55-8126</t>
  </si>
  <si>
    <t xml:space="preserve">16:09</t>
  </si>
  <si>
    <t xml:space="preserve">756-79-9590</t>
  </si>
  <si>
    <t xml:space="preserve">441-20-3317</t>
  </si>
  <si>
    <t xml:space="preserve">779-23-3200</t>
  </si>
  <si>
    <t xml:space="preserve">265-35-3267</t>
  </si>
  <si>
    <t xml:space="preserve">13:42</t>
  </si>
  <si>
    <t xml:space="preserve">367-80-7841</t>
  </si>
  <si>
    <t xml:space="preserve">373-30-2771</t>
  </si>
  <si>
    <t xml:space="preserve">709-82-5728</t>
  </si>
  <si>
    <t xml:space="preserve">205-20-6372</t>
  </si>
  <si>
    <t xml:space="preserve">415-56-1653</t>
  </si>
  <si>
    <t xml:space="preserve">12:19</t>
  </si>
  <si>
    <t xml:space="preserve">176-95-7655</t>
  </si>
  <si>
    <t xml:space="preserve">713-17-1125</t>
  </si>
  <si>
    <t xml:space="preserve">20:18</t>
  </si>
  <si>
    <t xml:space="preserve">139-27-6456</t>
  </si>
  <si>
    <t xml:space="preserve">723-35-3504</t>
  </si>
  <si>
    <t xml:space="preserve">10:32</t>
  </si>
  <si>
    <t xml:space="preserve">400-35-1717</t>
  </si>
  <si>
    <t xml:space="preserve">997-89-3147</t>
  </si>
  <si>
    <t xml:space="preserve">522-13-3938</t>
  </si>
  <si>
    <t xml:space="preserve">458-49-4728</t>
  </si>
  <si>
    <t xml:space="preserve">342-58-6881</t>
  </si>
  <si>
    <t xml:space="preserve">19:16</t>
  </si>
  <si>
    <t xml:space="preserve">950-97-8612</t>
  </si>
  <si>
    <t xml:space="preserve">777-57-2129</t>
  </si>
  <si>
    <t xml:space="preserve">10:48</t>
  </si>
  <si>
    <t xml:space="preserve">211-86-8119</t>
  </si>
  <si>
    <t xml:space="preserve">266-60-5902</t>
  </si>
  <si>
    <t xml:space="preserve">641-42-1188</t>
  </si>
  <si>
    <t xml:space="preserve">802-74-6095</t>
  </si>
  <si>
    <t xml:space="preserve">11:01</t>
  </si>
  <si>
    <t xml:space="preserve">985-30-3900</t>
  </si>
  <si>
    <t xml:space="preserve">18:16</t>
  </si>
  <si>
    <t xml:space="preserve">837-62-9004</t>
  </si>
  <si>
    <t xml:space="preserve">612-15-1742</t>
  </si>
  <si>
    <t xml:space="preserve">515-80-1006</t>
  </si>
  <si>
    <t xml:space="preserve">14:39</t>
  </si>
  <si>
    <t xml:space="preserve">358-71-2869</t>
  </si>
  <si>
    <t xml:space="preserve">255-29-5978</t>
  </si>
  <si>
    <t xml:space="preserve">10:36</t>
  </si>
  <si>
    <t xml:space="preserve">370-78-3024</t>
  </si>
  <si>
    <t xml:space="preserve">750-56-3664</t>
  </si>
  <si>
    <t xml:space="preserve">13:38</t>
  </si>
  <si>
    <t xml:space="preserve">884-92-7887</t>
  </si>
  <si>
    <t xml:space="preserve">453-65-2816</t>
  </si>
  <si>
    <t xml:space="preserve">993-79-1588</t>
  </si>
  <si>
    <t xml:space="preserve">614-85-6439</t>
  </si>
  <si>
    <t xml:space="preserve">316-82-6155</t>
  </si>
  <si>
    <t xml:space="preserve">573-62-1888</t>
  </si>
  <si>
    <t xml:space="preserve">662-31-5342</t>
  </si>
  <si>
    <t xml:space="preserve">20:37</t>
  </si>
  <si>
    <t xml:space="preserve">904-77-6222</t>
  </si>
  <si>
    <t xml:space="preserve">139-46-8740</t>
  </si>
  <si>
    <t xml:space="preserve">20:00</t>
  </si>
  <si>
    <t xml:space="preserve">677-94-1539</t>
  </si>
  <si>
    <t xml:space="preserve">16:20</t>
  </si>
  <si>
    <t xml:space="preserve">416-60-8842</t>
  </si>
  <si>
    <t xml:space="preserve">18:03</t>
  </si>
  <si>
    <t xml:space="preserve">677-24-2011</t>
  </si>
  <si>
    <t xml:space="preserve">734-20-7868</t>
  </si>
  <si>
    <t xml:space="preserve">599-38-5471</t>
  </si>
  <si>
    <t xml:space="preserve">524-62-6421</t>
  </si>
  <si>
    <t xml:space="preserve">467-54-5333</t>
  </si>
  <si>
    <t xml:space="preserve">873-28-4261</t>
  </si>
  <si>
    <t xml:space="preserve">19:44</t>
  </si>
  <si>
    <t xml:space="preserve">146-92-5336</t>
  </si>
  <si>
    <t xml:space="preserve">363-72-9037</t>
  </si>
  <si>
    <t xml:space="preserve">831-20-9266</t>
  </si>
  <si>
    <t xml:space="preserve">441-51-2713</t>
  </si>
  <si>
    <t xml:space="preserve">540-26-1685</t>
  </si>
  <si>
    <t xml:space="preserve">835-99-7291</t>
  </si>
  <si>
    <t xml:space="preserve">540-84-6279</t>
  </si>
  <si>
    <t xml:space="preserve">345-32-2229</t>
  </si>
  <si>
    <t xml:space="preserve">290-47-1613</t>
  </si>
  <si>
    <t xml:space="preserve">108-95-5905</t>
  </si>
  <si>
    <t xml:space="preserve">702-38-1117</t>
  </si>
  <si>
    <t xml:space="preserve">16:13</t>
  </si>
  <si>
    <t xml:space="preserve">618-92-6590</t>
  </si>
  <si>
    <t xml:space="preserve">954-71-8736</t>
  </si>
  <si>
    <t xml:space="preserve">988-16-5712</t>
  </si>
  <si>
    <t xml:space="preserve">701-48-7951</t>
  </si>
  <si>
    <t xml:space="preserve">638-24-2041</t>
  </si>
  <si>
    <t xml:space="preserve">561-98-8699</t>
  </si>
  <si>
    <t xml:space="preserve">776-47-6021</t>
  </si>
  <si>
    <t xml:space="preserve">135-26-2101</t>
  </si>
  <si>
    <t xml:space="preserve">840-12-7487</t>
  </si>
  <si>
    <t xml:space="preserve">10:09</t>
  </si>
  <si>
    <t xml:space="preserve">793-32-5930</t>
  </si>
  <si>
    <t xml:space="preserve">675-99-5450</t>
  </si>
  <si>
    <t xml:space="preserve">488-60-6654</t>
  </si>
  <si>
    <t xml:space="preserve">614-92-3762</t>
  </si>
  <si>
    <t xml:space="preserve">17:53</t>
  </si>
  <si>
    <t xml:space="preserve">479-55-4432</t>
  </si>
  <si>
    <t xml:space="preserve">409-84-1187</t>
  </si>
  <si>
    <t xml:space="preserve">224-83-9899</t>
  </si>
  <si>
    <t xml:space="preserve">342-48-3347</t>
  </si>
  <si>
    <t xml:space="preserve">655-69-7812</t>
  </si>
  <si>
    <t xml:space="preserve">485-50-3837</t>
  </si>
  <si>
    <t xml:space="preserve">967-23-8060</t>
  </si>
  <si>
    <t xml:space="preserve">14:14</t>
  </si>
  <si>
    <t xml:space="preserve">424-71-6714</t>
  </si>
  <si>
    <t xml:space="preserve">274-32-2293</t>
  </si>
  <si>
    <t xml:space="preserve">14:41</t>
  </si>
  <si>
    <t xml:space="preserve">506-35-2245</t>
  </si>
  <si>
    <t xml:space="preserve">864-53-2886</t>
  </si>
  <si>
    <t xml:space="preserve">507-79-8756</t>
  </si>
  <si>
    <t xml:space="preserve">539-10-6780</t>
  </si>
  <si>
    <t xml:space="preserve">15:02</t>
  </si>
  <si>
    <t xml:space="preserve">527-32-1595</t>
  </si>
  <si>
    <t xml:space="preserve">587-67-6931</t>
  </si>
  <si>
    <t xml:space="preserve">491-14-8711</t>
  </si>
  <si>
    <t xml:space="preserve">611-65-6427</t>
  </si>
  <si>
    <t xml:space="preserve">13:20</t>
  </si>
  <si>
    <t xml:space="preserve">714-49-6761</t>
  </si>
  <si>
    <t xml:space="preserve">12:01</t>
  </si>
  <si>
    <t xml:space="preserve">200-65-4803</t>
  </si>
  <si>
    <t xml:space="preserve">317-29-8900</t>
  </si>
  <si>
    <t xml:space="preserve">839-45-9777</t>
  </si>
  <si>
    <t xml:space="preserve">760-21-9307</t>
  </si>
  <si>
    <t xml:space="preserve">18:14</t>
  </si>
  <si>
    <t xml:space="preserve">155-80-5786</t>
  </si>
  <si>
    <t xml:space="preserve">571-31-6770</t>
  </si>
  <si>
    <t xml:space="preserve">854-53-5833</t>
  </si>
  <si>
    <t xml:space="preserve">619-49-7691</t>
  </si>
  <si>
    <t xml:space="preserve">212-94-1422</t>
  </si>
  <si>
    <t xml:space="preserve">732-91-1496</t>
  </si>
  <si>
    <t xml:space="preserve">549-25-8679</t>
  </si>
  <si>
    <t xml:space="preserve">13:02</t>
  </si>
  <si>
    <t xml:space="preserve">106-78-7739</t>
  </si>
  <si>
    <t xml:space="preserve">324-32-9486</t>
  </si>
  <si>
    <t xml:space="preserve">785-72-4510</t>
  </si>
  <si>
    <t xml:space="preserve">721-28-6121</t>
  </si>
  <si>
    <t xml:space="preserve">553-94-7947</t>
  </si>
  <si>
    <t xml:space="preserve">490-86-8668</t>
  </si>
  <si>
    <t xml:space="preserve">146-38-7475</t>
  </si>
  <si>
    <t xml:space="preserve">19:54</t>
  </si>
  <si>
    <t xml:space="preserve">597-87-8242</t>
  </si>
  <si>
    <t xml:space="preserve">16:34</t>
  </si>
  <si>
    <t xml:space="preserve">990-28-7566</t>
  </si>
  <si>
    <t xml:space="preserve">11:35</t>
  </si>
  <si>
    <t xml:space="preserve">262-70-8373</t>
  </si>
  <si>
    <t xml:space="preserve">265-66-8007</t>
  </si>
  <si>
    <t xml:space="preserve">683-81-4189</t>
  </si>
  <si>
    <t xml:space="preserve">951-46-2257</t>
  </si>
  <si>
    <t xml:space="preserve">419-83-7149</t>
  </si>
  <si>
    <t xml:space="preserve">758-52-3093</t>
  </si>
  <si>
    <t xml:space="preserve">12:34</t>
  </si>
  <si>
    <t xml:space="preserve">962-82-1674</t>
  </si>
  <si>
    <t xml:space="preserve">181-12-5193</t>
  </si>
  <si>
    <t xml:space="preserve">16:46</t>
  </si>
  <si>
    <t xml:space="preserve">864-27-2143</t>
  </si>
  <si>
    <t xml:space="preserve">823-37-2052</t>
  </si>
  <si>
    <t xml:space="preserve">956-60-9116</t>
  </si>
  <si>
    <t xml:space="preserve">384-33-8141</t>
  </si>
  <si>
    <t xml:space="preserve">845-38-1056</t>
  </si>
  <si>
    <t xml:space="preserve">18:50</t>
  </si>
  <si>
    <t xml:space="preserve">720-87-2876</t>
  </si>
  <si>
    <t xml:space="preserve">19:15</t>
  </si>
  <si>
    <t xml:space="preserve">741-96-7999</t>
  </si>
  <si>
    <t xml:space="preserve">228-50-2215</t>
  </si>
  <si>
    <t xml:space="preserve">19:33</t>
  </si>
  <si>
    <t xml:space="preserve">643-75-4176</t>
  </si>
  <si>
    <t xml:space="preserve">18:40</t>
  </si>
  <si>
    <t xml:space="preserve">492-34-9327</t>
  </si>
  <si>
    <t xml:space="preserve">561-23-6626</t>
  </si>
  <si>
    <t xml:space="preserve">10:08</t>
  </si>
  <si>
    <t xml:space="preserve">694-43-1626</t>
  </si>
  <si>
    <t xml:space="preserve">669-11-9464</t>
  </si>
  <si>
    <t xml:space="preserve">786-99-9624</t>
  </si>
  <si>
    <t xml:space="preserve">742-30-7916</t>
  </si>
  <si>
    <t xml:space="preserve">719-88-7499</t>
  </si>
  <si>
    <t xml:space="preserve">786-44-2169</t>
  </si>
  <si>
    <t xml:space="preserve">405-59-7865</t>
  </si>
  <si>
    <t xml:space="preserve">930-27-2033</t>
  </si>
  <si>
    <t xml:space="preserve">208-90-5889</t>
  </si>
  <si>
    <t xml:space="preserve">993-42-1854</t>
  </si>
  <si>
    <t xml:space="preserve">791-37-9375</t>
  </si>
  <si>
    <t xml:space="preserve">613-29-2013</t>
  </si>
  <si>
    <t xml:space="preserve">524-93-2622</t>
  </si>
  <si>
    <t xml:space="preserve">337-69-5161</t>
  </si>
  <si>
    <t xml:space="preserve">12:12</t>
  </si>
  <si>
    <t xml:space="preserve">803-91-5325</t>
  </si>
  <si>
    <t xml:space="preserve">566-63-4185</t>
  </si>
  <si>
    <t xml:space="preserve">720-75-2894</t>
  </si>
  <si>
    <t xml:space="preserve">570-42-1153</t>
  </si>
  <si>
    <t xml:space="preserve">993-17-3262</t>
  </si>
  <si>
    <t xml:space="preserve">884-76-8939</t>
  </si>
  <si>
    <t xml:space="preserve">927-80-2604</t>
  </si>
  <si>
    <t xml:space="preserve">346-94-2698</t>
  </si>
  <si>
    <t xml:space="preserve">779-84-7046</t>
  </si>
  <si>
    <t xml:space="preserve">502-77-3086</t>
  </si>
  <si>
    <t xml:space="preserve">352-81-9830</t>
  </si>
  <si>
    <t xml:space="preserve">776-76-4621</t>
  </si>
  <si>
    <t xml:space="preserve">692-19-1742</t>
  </si>
  <si>
    <t xml:space="preserve">891-61-9431</t>
  </si>
  <si>
    <t xml:space="preserve">749-44-8381</t>
  </si>
  <si>
    <t xml:space="preserve">897-77-1009</t>
  </si>
  <si>
    <t xml:space="preserve">138-17-7041</t>
  </si>
  <si>
    <t xml:space="preserve">12:10</t>
  </si>
  <si>
    <t xml:space="preserve">440-80-9903</t>
  </si>
  <si>
    <t xml:space="preserve">296-38-3253</t>
  </si>
  <si>
    <t xml:space="preserve">454-66-5201</t>
  </si>
  <si>
    <t xml:space="preserve">18:30</t>
  </si>
  <si>
    <t xml:space="preserve">153-29-3579</t>
  </si>
  <si>
    <t xml:space="preserve">12:58</t>
  </si>
  <si>
    <t xml:space="preserve">533-62-8651</t>
  </si>
  <si>
    <t xml:space="preserve">526-84-6040</t>
  </si>
  <si>
    <t xml:space="preserve">457-18-5002</t>
  </si>
  <si>
    <t xml:space="preserve">11:25</t>
  </si>
  <si>
    <t xml:space="preserve">946-64-9442</t>
  </si>
  <si>
    <t xml:space="preserve">618-43-3170</t>
  </si>
  <si>
    <t xml:space="preserve">16:18</t>
  </si>
  <si>
    <t xml:space="preserve">409-11-9751</t>
  </si>
  <si>
    <t xml:space="preserve">747-75-4963</t>
  </si>
  <si>
    <t xml:space="preserve">172-97-4824</t>
  </si>
  <si>
    <t xml:space="preserve">601-82-5911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</si>
</sst>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"/>
    <numFmt numFmtId="167" formatCode="#,##0"/>
    <numFmt numFmtId="168" formatCode="\$#,##0.00"/>
    <numFmt numFmtId="169" formatCode="mm/dd/yyyy"/>
    <numFmt numFmtId="170" formatCode="0.000000"/>
    <numFmt numFmtId="171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999FF"/>
      <rgbColor rgb="FFAB4744"/>
      <rgbColor rgb="FFF9F9F9"/>
      <rgbColor rgb="FFF2F2F2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4A7EBB"/>
      <rgbColor rgb="FF003300"/>
      <rgbColor rgb="FF333300"/>
      <rgbColor rgb="FF993300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Line (High to Low)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Dashboard!B62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Dashboard!$A$63:$A$68</c:f>
              <c:strCache>
                <c:ptCount val="6"/>
                <c:pt idx="0">
                  <c:v>Home and lifestyle</c:v>
                </c:pt>
                <c:pt idx="1">
                  <c:v>Electronic accessories</c:v>
                </c:pt>
                <c:pt idx="2">
                  <c:v>Health and beauty</c:v>
                </c:pt>
                <c:pt idx="3">
                  <c:v>Fashion accessories</c:v>
                </c:pt>
                <c:pt idx="4">
                  <c:v>Food and beverages</c:v>
                </c:pt>
                <c:pt idx="5">
                  <c:v>Sports and travel</c:v>
                </c:pt>
              </c:strCache>
            </c:strRef>
          </c:cat>
          <c:val>
            <c:numRef>
              <c:f>Dashboard!$B$63:$B$68</c:f>
              <c:numCache>
                <c:formatCode>\$#,##0</c:formatCode>
                <c:ptCount val="6"/>
                <c:pt idx="0">
                  <c:v>54973.779</c:v>
                </c:pt>
                <c:pt idx="1">
                  <c:v>53827.8825</c:v>
                </c:pt>
                <c:pt idx="2">
                  <c:v>52817.8455</c:v>
                </c:pt>
                <c:pt idx="3">
                  <c:v>52040.562</c:v>
                </c:pt>
                <c:pt idx="4">
                  <c:v>51428.1285</c:v>
                </c:pt>
                <c:pt idx="5">
                  <c:v>47945.7825</c:v>
                </c:pt>
              </c:numCache>
            </c:numRef>
          </c:val>
        </c:ser>
        <c:gapWidth val="150"/>
        <c:overlap val="0"/>
        <c:axId val="65647375"/>
        <c:axId val="67013944"/>
      </c:barChart>
      <c:catAx>
        <c:axId val="6564737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13944"/>
        <c:crosses val="max"/>
        <c:auto val="1"/>
        <c:lblAlgn val="ctr"/>
        <c:lblOffset val="100"/>
        <c:noMultiLvlLbl val="0"/>
      </c:catAx>
      <c:valAx>
        <c:axId val="6701394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473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Dashboard!E62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Dashboard!$D$63:$D$65</c:f>
              <c:strCache>
                <c:ptCount val="3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</c:strCache>
            </c:strRef>
          </c:cat>
          <c:val>
            <c:numRef>
              <c:f>Dashboard!$E$63:$E$65</c:f>
              <c:numCache>
                <c:formatCode>\$#,##0</c:formatCode>
                <c:ptCount val="3"/>
                <c:pt idx="0">
                  <c:v>107083.515</c:v>
                </c:pt>
                <c:pt idx="1">
                  <c:v>103331.613</c:v>
                </c:pt>
                <c:pt idx="2">
                  <c:v>102618.852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030770"/>
        <c:axId val="47958040"/>
      </c:lineChart>
      <c:catAx>
        <c:axId val="970307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58040"/>
        <c:crosses val="autoZero"/>
        <c:auto val="1"/>
        <c:lblAlgn val="ctr"/>
        <c:lblOffset val="100"/>
        <c:noMultiLvlLbl val="0"/>
      </c:catAx>
      <c:valAx>
        <c:axId val="47958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307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Branch Performance: Sales &amp; Avg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Dashboard!H62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Dashboard!$G$63:$G$65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Dashboard!$H$63:$H$65</c:f>
              <c:numCache>
                <c:formatCode>\$#,##0</c:formatCode>
                <c:ptCount val="3"/>
                <c:pt idx="0">
                  <c:v>105709.2435</c:v>
                </c:pt>
                <c:pt idx="1">
                  <c:v>101159.583</c:v>
                </c:pt>
                <c:pt idx="2">
                  <c:v>106165.1535</c:v>
                </c:pt>
              </c:numCache>
            </c:numRef>
          </c:val>
        </c:ser>
        <c:gapWidth val="150"/>
        <c:overlap val="0"/>
        <c:axId val="68923395"/>
        <c:axId val="99966074"/>
      </c:barChart>
      <c:lineChart>
        <c:grouping val="standard"/>
        <c:varyColors val="0"/>
        <c:ser>
          <c:idx val="1"/>
          <c:order val="1"/>
          <c:tx>
            <c:strRef>
              <c:f>Dashboard!I62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be4b48"/>
            </a:solidFill>
            <a:ln w="20160">
              <a:solidFill>
                <a:srgbClr val="be4b48"/>
              </a:solidFill>
              <a:round/>
            </a:ln>
          </c:spPr>
          <c:marker>
            <c:symbol val="diamond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Dashboard!$G$63:$G$65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Dashboard!$I$63:$I$65</c:f>
              <c:numCache>
                <c:formatCode>0.00</c:formatCode>
                <c:ptCount val="3"/>
                <c:pt idx="0">
                  <c:v>7.06164772727273</c:v>
                </c:pt>
                <c:pt idx="1">
                  <c:v>6.91766561514196</c:v>
                </c:pt>
                <c:pt idx="2">
                  <c:v>6.93987915407855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6755758"/>
        <c:axId val="94129755"/>
      </c:lineChart>
      <c:catAx>
        <c:axId val="689233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66074"/>
        <c:crosses val="autoZero"/>
        <c:auto val="1"/>
        <c:lblAlgn val="ctr"/>
        <c:lblOffset val="100"/>
        <c:noMultiLvlLbl val="0"/>
      </c:catAx>
      <c:valAx>
        <c:axId val="9996607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23395"/>
        <c:crosses val="autoZero"/>
        <c:crossBetween val="between"/>
      </c:valAx>
      <c:catAx>
        <c:axId val="6675575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29755"/>
        <c:crosses val="autoZero"/>
        <c:auto val="1"/>
        <c:lblAlgn val="ctr"/>
        <c:lblOffset val="100"/>
        <c:noMultiLvlLbl val="0"/>
      </c:catAx>
      <c:valAx>
        <c:axId val="9412975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5575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Payment Method &amp;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Dashboard!L62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Dashboard!$K$63:$K$65</c:f>
              <c:strCache>
                <c:ptCount val="3"/>
                <c:pt idx="0">
                  <c:v>Ewallet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Dashboard!$L$63:$L$65</c:f>
              <c:numCache>
                <c:formatCode>\$#,##0</c:formatCode>
                <c:ptCount val="3"/>
                <c:pt idx="0">
                  <c:v>53519.8755</c:v>
                </c:pt>
                <c:pt idx="1">
                  <c:v>54168.933</c:v>
                </c:pt>
                <c:pt idx="2">
                  <c:v>52217.8335</c:v>
                </c:pt>
              </c:numCache>
            </c:numRef>
          </c:val>
        </c:ser>
        <c:ser>
          <c:idx val="1"/>
          <c:order val="1"/>
          <c:tx>
            <c:strRef>
              <c:f>Dashboard!M62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Dashboard!$K$63:$K$65</c:f>
              <c:strCache>
                <c:ptCount val="3"/>
                <c:pt idx="0">
                  <c:v>Ewallet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Dashboard!$M$63:$M$65</c:f>
              <c:numCache>
                <c:formatCode>\$#,##0</c:formatCode>
                <c:ptCount val="3"/>
                <c:pt idx="0">
                  <c:v>50206.674</c:v>
                </c:pt>
                <c:pt idx="1">
                  <c:v>46362.183</c:v>
                </c:pt>
                <c:pt idx="2">
                  <c:v>56558.481</c:v>
                </c:pt>
              </c:numCache>
            </c:numRef>
          </c:val>
        </c:ser>
        <c:gapWidth val="150"/>
        <c:overlap val="100"/>
        <c:axId val="11179483"/>
        <c:axId val="16788587"/>
      </c:barChart>
      <c:catAx>
        <c:axId val="111794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88587"/>
        <c:crosses val="autoZero"/>
        <c:auto val="1"/>
        <c:lblAlgn val="ctr"/>
        <c:lblOffset val="100"/>
        <c:noMultiLvlLbl val="0"/>
      </c:catAx>
      <c:valAx>
        <c:axId val="16788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79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6</xdr:col>
      <xdr:colOff>339840</xdr:colOff>
      <xdr:row>25</xdr:row>
      <xdr:rowOff>11520</xdr:rowOff>
    </xdr:to>
    <xdr:graphicFrame>
      <xdr:nvGraphicFramePr>
        <xdr:cNvPr id="0" name="Chart 1"/>
        <xdr:cNvGraphicFramePr/>
      </xdr:nvGraphicFramePr>
      <xdr:xfrm>
        <a:off x="0" y="20858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15</xdr:col>
      <xdr:colOff>33120</xdr:colOff>
      <xdr:row>25</xdr:row>
      <xdr:rowOff>11520</xdr:rowOff>
    </xdr:to>
    <xdr:graphicFrame>
      <xdr:nvGraphicFramePr>
        <xdr:cNvPr id="1" name="Chart 2"/>
        <xdr:cNvGraphicFramePr/>
      </xdr:nvGraphicFramePr>
      <xdr:xfrm>
        <a:off x="6696000" y="20858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6</xdr:col>
      <xdr:colOff>339840</xdr:colOff>
      <xdr:row>42</xdr:row>
      <xdr:rowOff>11520</xdr:rowOff>
    </xdr:to>
    <xdr:graphicFrame>
      <xdr:nvGraphicFramePr>
        <xdr:cNvPr id="2" name="Chart 3"/>
        <xdr:cNvGraphicFramePr/>
      </xdr:nvGraphicFramePr>
      <xdr:xfrm>
        <a:off x="0" y="53244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33120</xdr:colOff>
      <xdr:row>42</xdr:row>
      <xdr:rowOff>11520</xdr:rowOff>
    </xdr:to>
    <xdr:graphicFrame>
      <xdr:nvGraphicFramePr>
        <xdr:cNvPr id="3" name="Chart 4"/>
        <xdr:cNvGraphicFramePr/>
      </xdr:nvGraphicFramePr>
      <xdr:xfrm>
        <a:off x="6696000" y="53244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permarketData" displayName="SupermarketData" ref="A1:U1001" headerRowCount="1" totalsRowCount="0" totalsRowShown="0">
  <autoFilter ref="A1:U1001"/>
  <tableColumns count="21">
    <tableColumn id="1" name="Invoice ID"/>
    <tableColumn id="2" name="Branch"/>
    <tableColumn id="3" name="City"/>
    <tableColumn id="4" name="Customer type"/>
    <tableColumn id="5" name="Gender"/>
    <tableColumn id="6" name="Product line"/>
    <tableColumn id="7" name="Unit price"/>
    <tableColumn id="8" name="Quantity"/>
    <tableColumn id="9" name="Tax 5%"/>
    <tableColumn id="10" name="Total"/>
    <tableColumn id="11" name="Date"/>
    <tableColumn id="12" name="Time"/>
    <tableColumn id="13" name="Payment"/>
    <tableColumn id="14" name="cogs"/>
    <tableColumn id="15" name="gross margin percentage"/>
    <tableColumn id="16" name="gross income"/>
    <tableColumn id="17" name="Rating"/>
    <tableColumn id="18" name="Month"/>
    <tableColumn id="19" name="Hour"/>
    <tableColumn id="20" name="Time Slot"/>
    <tableColumn id="21" name="Total Profit (Gross Income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9" min="4" style="0" width="13"/>
    <col collapsed="false" customWidth="true" hidden="false" outlineLevel="0" max="10" min="10" style="0" width="4"/>
    <col collapsed="false" customWidth="true" hidden="false" outlineLevel="0" max="13" min="11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9.5" hidden="false" customHeight="true" outlineLevel="0" collapsed="false">
      <c r="A5" s="4" t="s">
        <v>3</v>
      </c>
      <c r="B5" s="5" t="s">
        <v>4</v>
      </c>
      <c r="D5" s="4" t="s">
        <v>5</v>
      </c>
      <c r="E5" s="5" t="s">
        <v>4</v>
      </c>
      <c r="G5" s="4" t="s">
        <v>6</v>
      </c>
      <c r="H5" s="5" t="s">
        <v>4</v>
      </c>
      <c r="J5" s="4" t="s">
        <v>7</v>
      </c>
      <c r="K5" s="5" t="s">
        <v>4</v>
      </c>
    </row>
    <row r="7" customFormat="false" ht="15.75" hidden="false" customHeight="true" outlineLevel="0" collapsed="false">
      <c r="A7" s="6" t="s">
        <v>8</v>
      </c>
      <c r="B7" s="6"/>
      <c r="C7" s="6" t="s">
        <v>9</v>
      </c>
      <c r="D7" s="6"/>
      <c r="E7" s="6" t="s">
        <v>10</v>
      </c>
      <c r="F7" s="6"/>
      <c r="G7" s="6" t="s">
        <v>11</v>
      </c>
      <c r="H7" s="6"/>
      <c r="I7" s="6" t="s">
        <v>12</v>
      </c>
      <c r="J7" s="6"/>
    </row>
    <row r="8" customFormat="false" ht="24" hidden="false" customHeight="true" outlineLevel="0" collapsed="false">
      <c r="A8" s="7" t="n">
        <f aca="false">SUMIFS(SupermarketData[Total],SupermarketData[Branch],IF($B$5="All","*",$B$5),SupermarketData[City],IF($E$5="All","*",$E$5),SupermarketData[Customer type],IF($H$5="All","*",$H$5),SupermarketData[Gender],IF($K$5="All","*",$K$5))</f>
        <v>313033.98</v>
      </c>
      <c r="B8" s="7"/>
      <c r="C8" s="7" t="n">
        <f aca="false">SUMIFS(SupermarketData[gross income],SupermarketData[Branch],IF($B$5="All","*",$B$5),SupermarketData[City],IF($E$5="All","*",$E$5),SupermarketData[Customer type],IF($H$5="All","*",$H$5),SupermarketData[Gender],IF($K$5="All","*",$K$5))</f>
        <v>14906.38</v>
      </c>
      <c r="D8" s="7"/>
      <c r="E8" s="8" t="n">
        <f aca="false">IFERROR(AVERAGEIFS(SupermarketData[Rating],SupermarketData[Branch],IF($B$5="All","*",$B$5),SupermarketData[City],IF($E$5="All","*",$E$5),SupermarketData[Customer type],IF($H$5="All","*",$H$5),SupermarketData[Gender],IF($K$5="All","*",$K$5)),0)</f>
        <v>6.9757</v>
      </c>
      <c r="F8" s="8"/>
      <c r="G8" s="9" t="n">
        <f aca="false">COUNTIFS(SupermarketData[Branch],IF($B$5="All","*",$B$5),SupermarketData[City],IF($E$5="All","*",$E$5),SupermarketData[Customer type],IF($H$5="All","*",$H$5),SupermarketData[Gender],IF($K$5="All","*",$K$5))</f>
        <v>1000</v>
      </c>
      <c r="H8" s="9"/>
      <c r="I8" s="10" t="n">
        <f aca="false">IFERROR(A8/G8,0)</f>
        <v>313.03398</v>
      </c>
      <c r="J8" s="10"/>
    </row>
    <row r="60" customFormat="false" ht="15" hidden="false" customHeight="false" outlineLevel="0" collapsed="false">
      <c r="A60" s="11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2" customFormat="false" ht="15" hidden="false" customHeight="false" outlineLevel="0" collapsed="false">
      <c r="A62" s="12" t="s">
        <v>14</v>
      </c>
      <c r="B62" s="12" t="s">
        <v>15</v>
      </c>
      <c r="D62" s="12" t="s">
        <v>16</v>
      </c>
      <c r="E62" s="12" t="s">
        <v>15</v>
      </c>
      <c r="G62" s="12" t="s">
        <v>17</v>
      </c>
      <c r="H62" s="12" t="s">
        <v>18</v>
      </c>
      <c r="I62" s="12" t="s">
        <v>19</v>
      </c>
      <c r="K62" s="12" t="s">
        <v>20</v>
      </c>
      <c r="L62" s="12" t="s">
        <v>21</v>
      </c>
      <c r="M62" s="12" t="s">
        <v>22</v>
      </c>
    </row>
    <row r="63" customFormat="false" ht="15" hidden="false" customHeight="false" outlineLevel="0" collapsed="false">
      <c r="A63" s="0" t="s">
        <v>23</v>
      </c>
      <c r="B63" s="13" t="n">
        <f aca="false">SUMIFS(SupermarketData[Total],SupermarketData[Product line],$A63,SupermarketData[Branch],IF($B$5="All","*",$B$5),SupermarketData[City],IF($E$5="All","*",$E$5),SupermarketData[Customer type],IF($H$5="All","*",$H$5),SupermarketData[Gender],IF($K$5="All","*",$K$5))</f>
        <v>54973.779</v>
      </c>
      <c r="D63" s="14" t="s">
        <v>24</v>
      </c>
      <c r="E63" s="13" t="n">
        <f aca="false">SUMIFS(SupermarketData[Total],SupermarketData[Month],$D63,SupermarketData[Branch],IF($B$5="All","*",$B$5),SupermarketData[City],IF($E$5="All","*",$E$5),SupermarketData[Customer type],IF($H$5="All","*",$H$5),SupermarketData[Gender],IF($K$5="All","*",$K$5))</f>
        <v>107083.515</v>
      </c>
      <c r="G63" s="14" t="s">
        <v>25</v>
      </c>
      <c r="H63" s="13" t="n">
        <f aca="false">SUMIFS(SupermarketData[Total],SupermarketData[Branch],$G63,SupermarketData[City],IF($E$5="All","*",$E$5),SupermarketData[Customer type],IF($H$5="All","*",$H$5),SupermarketData[Gender],IF($K$5="All","*",$K$5))</f>
        <v>105709.2435</v>
      </c>
      <c r="I63" s="15" t="n">
        <f aca="false">IFERROR(AVERAGEIFS(SupermarketData[Rating],SupermarketData[Branch],$G63,SupermarketData[City],IF($E$5="All","*",$E$5),SupermarketData[Customer type],IF($H$5="All","*",$H$5),SupermarketData[Gender],IF($K$5="All","*",$K$5)),0)</f>
        <v>7.06164772727273</v>
      </c>
      <c r="K63" s="14" t="s">
        <v>26</v>
      </c>
      <c r="L63" s="13" t="n">
        <f aca="false">SUMIFS(SupermarketData[Total],SupermarketData[Payment],$K63,SupermarketData[Customer type],"Member",SupermarketData[Branch],IF($B$5="All","*",$B$5),SupermarketData[City],IF($E$5="All","*",$E$5),SupermarketData[Gender],IF($K$5="All","*",$K$5))</f>
        <v>53519.8755</v>
      </c>
      <c r="M63" s="13" t="n">
        <f aca="false">SUMIFS(SupermarketData[Total],SupermarketData[Payment],$K63,SupermarketData[Customer type],"Normal",SupermarketData[Branch],IF($B$5="All","*",$B$5),SupermarketData[City],IF($E$5="All","*",$E$5),SupermarketData[Gender],IF($K$5="All","*",$K$5))</f>
        <v>50206.674</v>
      </c>
    </row>
    <row r="64" customFormat="false" ht="15" hidden="false" customHeight="false" outlineLevel="0" collapsed="false">
      <c r="A64" s="0" t="s">
        <v>27</v>
      </c>
      <c r="B64" s="13" t="n">
        <f aca="false">SUMIFS(SupermarketData[Total],SupermarketData[Product line],$A64,SupermarketData[Branch],IF($B$5="All","*",$B$5),SupermarketData[City],IF($E$5="All","*",$E$5),SupermarketData[Customer type],IF($H$5="All","*",$H$5),SupermarketData[Gender],IF($K$5="All","*",$K$5))</f>
        <v>53827.8825</v>
      </c>
      <c r="D64" s="14" t="s">
        <v>28</v>
      </c>
      <c r="E64" s="13" t="n">
        <f aca="false">SUMIFS(SupermarketData[Total],SupermarketData[Month],$D64,SupermarketData[Branch],IF($B$5="All","*",$B$5),SupermarketData[City],IF($E$5="All","*",$E$5),SupermarketData[Customer type],IF($H$5="All","*",$H$5),SupermarketData[Gender],IF($K$5="All","*",$K$5))</f>
        <v>103331.613</v>
      </c>
      <c r="G64" s="14" t="s">
        <v>29</v>
      </c>
      <c r="H64" s="13" t="n">
        <f aca="false">SUMIFS(SupermarketData[Total],SupermarketData[Branch],$G64,SupermarketData[City],IF($E$5="All","*",$E$5),SupermarketData[Customer type],IF($H$5="All","*",$H$5),SupermarketData[Gender],IF($K$5="All","*",$K$5))</f>
        <v>101159.583</v>
      </c>
      <c r="I64" s="15" t="n">
        <f aca="false">IFERROR(AVERAGEIFS(SupermarketData[Rating],SupermarketData[Branch],$G64,SupermarketData[City],IF($E$5="All","*",$E$5),SupermarketData[Customer type],IF($H$5="All","*",$H$5),SupermarketData[Gender],IF($K$5="All","*",$K$5)),0)</f>
        <v>6.91766561514196</v>
      </c>
      <c r="K64" s="14" t="s">
        <v>30</v>
      </c>
      <c r="L64" s="13" t="n">
        <f aca="false">SUMIFS(SupermarketData[Total],SupermarketData[Payment],$K64,SupermarketData[Customer type],"Member",SupermarketData[Branch],IF($B$5="All","*",$B$5),SupermarketData[City],IF($E$5="All","*",$E$5),SupermarketData[Gender],IF($K$5="All","*",$K$5))</f>
        <v>54168.933</v>
      </c>
      <c r="M64" s="13" t="n">
        <f aca="false">SUMIFS(SupermarketData[Total],SupermarketData[Payment],$K64,SupermarketData[Customer type],"Normal",SupermarketData[Branch],IF($B$5="All","*",$B$5),SupermarketData[City],IF($E$5="All","*",$E$5),SupermarketData[Gender],IF($K$5="All","*",$K$5))</f>
        <v>46362.183</v>
      </c>
    </row>
    <row r="65" customFormat="false" ht="15" hidden="false" customHeight="false" outlineLevel="0" collapsed="false">
      <c r="A65" s="0" t="s">
        <v>31</v>
      </c>
      <c r="B65" s="13" t="n">
        <f aca="false">SUMIFS(SupermarketData[Total],SupermarketData[Product line],$A65,SupermarketData[Branch],IF($B$5="All","*",$B$5),SupermarketData[City],IF($E$5="All","*",$E$5),SupermarketData[Customer type],IF($H$5="All","*",$H$5),SupermarketData[Gender],IF($K$5="All","*",$K$5))</f>
        <v>52817.8455</v>
      </c>
      <c r="D65" s="14" t="s">
        <v>32</v>
      </c>
      <c r="E65" s="13" t="n">
        <f aca="false">SUMIFS(SupermarketData[Total],SupermarketData[Month],$D65,SupermarketData[Branch],IF($B$5="All","*",$B$5),SupermarketData[City],IF($E$5="All","*",$E$5),SupermarketData[Customer type],IF($H$5="All","*",$H$5),SupermarketData[Gender],IF($K$5="All","*",$K$5))</f>
        <v>102618.852</v>
      </c>
      <c r="G65" s="14" t="s">
        <v>33</v>
      </c>
      <c r="H65" s="13" t="n">
        <f aca="false">SUMIFS(SupermarketData[Total],SupermarketData[Branch],$G65,SupermarketData[City],IF($E$5="All","*",$E$5),SupermarketData[Customer type],IF($H$5="All","*",$H$5),SupermarketData[Gender],IF($K$5="All","*",$K$5))</f>
        <v>106165.1535</v>
      </c>
      <c r="I65" s="15" t="n">
        <f aca="false">IFERROR(AVERAGEIFS(SupermarketData[Rating],SupermarketData[Branch],$G65,SupermarketData[City],IF($E$5="All","*",$E$5),SupermarketData[Customer type],IF($H$5="All","*",$H$5),SupermarketData[Gender],IF($K$5="All","*",$K$5)),0)</f>
        <v>6.93987915407855</v>
      </c>
      <c r="K65" s="14" t="s">
        <v>34</v>
      </c>
      <c r="L65" s="13" t="n">
        <f aca="false">SUMIFS(SupermarketData[Total],SupermarketData[Payment],$K65,SupermarketData[Customer type],"Member",SupermarketData[Branch],IF($B$5="All","*",$B$5),SupermarketData[City],IF($E$5="All","*",$E$5),SupermarketData[Gender],IF($K$5="All","*",$K$5))</f>
        <v>52217.8335</v>
      </c>
      <c r="M65" s="13" t="n">
        <f aca="false">SUMIFS(SupermarketData[Total],SupermarketData[Payment],$K65,SupermarketData[Customer type],"Normal",SupermarketData[Branch],IF($B$5="All","*",$B$5),SupermarketData[City],IF($E$5="All","*",$E$5),SupermarketData[Gender],IF($K$5="All","*",$K$5))</f>
        <v>56558.481</v>
      </c>
    </row>
    <row r="66" customFormat="false" ht="15" hidden="false" customHeight="false" outlineLevel="0" collapsed="false">
      <c r="A66" s="0" t="s">
        <v>35</v>
      </c>
      <c r="B66" s="13" t="n">
        <f aca="false">SUMIFS(SupermarketData[Total],SupermarketData[Product line],$A66,SupermarketData[Branch],IF($B$5="All","*",$B$5),SupermarketData[City],IF($E$5="All","*",$E$5),SupermarketData[Customer type],IF($H$5="All","*",$H$5),SupermarketData[Gender],IF($K$5="All","*",$K$5))</f>
        <v>52040.562</v>
      </c>
    </row>
    <row r="67" customFormat="false" ht="15" hidden="false" customHeight="false" outlineLevel="0" collapsed="false">
      <c r="A67" s="0" t="s">
        <v>36</v>
      </c>
      <c r="B67" s="13" t="n">
        <f aca="false">SUMIFS(SupermarketData[Total],SupermarketData[Product line],$A67,SupermarketData[Branch],IF($B$5="All","*",$B$5),SupermarketData[City],IF($E$5="All","*",$E$5),SupermarketData[Customer type],IF($H$5="All","*",$H$5),SupermarketData[Gender],IF($K$5="All","*",$K$5))</f>
        <v>51428.1285</v>
      </c>
    </row>
    <row r="68" customFormat="false" ht="15" hidden="false" customHeight="false" outlineLevel="0" collapsed="false">
      <c r="A68" s="0" t="s">
        <v>37</v>
      </c>
      <c r="B68" s="13" t="n">
        <f aca="false">SUMIFS(SupermarketData[Total],SupermarketData[Product line],$A68,SupermarketData[Branch],IF($B$5="All","*",$B$5),SupermarketData[City],IF($E$5="All","*",$E$5),SupermarketData[Customer type],IF($H$5="All","*",$H$5),SupermarketData[Gender],IF($K$5="All","*",$K$5))</f>
        <v>47945.7825</v>
      </c>
    </row>
  </sheetData>
  <mergeCells count="14">
    <mergeCell ref="A1:L1"/>
    <mergeCell ref="A2:L2"/>
    <mergeCell ref="A4:L4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60:L60"/>
  </mergeCells>
  <dataValidations count="4">
    <dataValidation allowBlank="false" errorStyle="stop" operator="between" showDropDown="false" showErrorMessage="false" showInputMessage="false" sqref="B5" type="list">
      <formula1>"All,A,B,C"</formula1>
      <formula2>0</formula2>
    </dataValidation>
    <dataValidation allowBlank="false" errorStyle="stop" operator="between" showDropDown="false" showErrorMessage="false" showInputMessage="false" sqref="E5" type="list">
      <formula1>"All,Yangon,Mandalay,Naypyitaw"</formula1>
      <formula2>0</formula2>
    </dataValidation>
    <dataValidation allowBlank="false" errorStyle="stop" operator="between" showDropDown="false" showErrorMessage="false" showInputMessage="false" sqref="H5" type="list">
      <formula1>"All,Member,Normal"</formula1>
      <formula2>0</formula2>
    </dataValidation>
    <dataValidation allowBlank="false" errorStyle="stop" operator="between" showDropDown="false" showErrorMessage="false" showInputMessage="false" sqref="K5" type="list">
      <formula1>"All,Male,Female"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7"/>
    <col collapsed="false" customWidth="true" hidden="false" outlineLevel="0" max="20" min="20" style="0" width="10"/>
    <col collapsed="false" customWidth="true" hidden="false" outlineLevel="0" max="21" min="21" style="0" width="14"/>
  </cols>
  <sheetData>
    <row r="1" customFormat="false" ht="15" hidden="false" customHeight="false" outlineLevel="0" collapsed="false">
      <c r="A1" s="12" t="s">
        <v>38</v>
      </c>
      <c r="B1" s="12" t="s">
        <v>17</v>
      </c>
      <c r="C1" s="12" t="s">
        <v>39</v>
      </c>
      <c r="D1" s="12" t="s">
        <v>40</v>
      </c>
      <c r="E1" s="12" t="s">
        <v>41</v>
      </c>
      <c r="F1" s="12" t="s">
        <v>14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12" t="s">
        <v>47</v>
      </c>
      <c r="M1" s="12" t="s">
        <v>20</v>
      </c>
      <c r="N1" s="12" t="s">
        <v>48</v>
      </c>
      <c r="O1" s="12" t="s">
        <v>49</v>
      </c>
      <c r="P1" s="12" t="s">
        <v>50</v>
      </c>
      <c r="Q1" s="12" t="s">
        <v>51</v>
      </c>
      <c r="R1" s="12" t="s">
        <v>16</v>
      </c>
      <c r="S1" s="12" t="s">
        <v>52</v>
      </c>
      <c r="T1" s="12" t="s">
        <v>53</v>
      </c>
      <c r="U1" s="12" t="s">
        <v>54</v>
      </c>
    </row>
    <row r="2" customFormat="false" ht="15" hidden="false" customHeight="false" outlineLevel="0" collapsed="false">
      <c r="A2" s="0" t="s">
        <v>55</v>
      </c>
      <c r="B2" s="0" t="s">
        <v>29</v>
      </c>
      <c r="C2" s="0" t="s">
        <v>56</v>
      </c>
      <c r="D2" s="0" t="s">
        <v>21</v>
      </c>
      <c r="E2" s="0" t="s">
        <v>57</v>
      </c>
      <c r="F2" s="0" t="s">
        <v>35</v>
      </c>
      <c r="G2" s="16" t="n">
        <v>32.38</v>
      </c>
      <c r="H2" s="0" t="n">
        <v>8</v>
      </c>
      <c r="I2" s="16" t="n">
        <f aca="false">G2*H2*0.05</f>
        <v>12.952</v>
      </c>
      <c r="J2" s="16" t="n">
        <f aca="false">G2*H2*1.05</f>
        <v>271.992</v>
      </c>
      <c r="K2" s="17" t="n">
        <v>43466</v>
      </c>
      <c r="L2" s="14" t="s">
        <v>58</v>
      </c>
      <c r="M2" s="14" t="s">
        <v>26</v>
      </c>
      <c r="N2" s="16" t="n">
        <f aca="false">G2*H2</f>
        <v>259.04</v>
      </c>
      <c r="O2" s="18" t="n">
        <v>4.761904762</v>
      </c>
      <c r="P2" s="16" t="n">
        <f aca="false">I2</f>
        <v>12.952</v>
      </c>
      <c r="Q2" s="19" t="n">
        <v>5.7</v>
      </c>
      <c r="R2" s="0" t="str">
        <f aca="false">TEXT(K2,"mmm yyyy")</f>
        <v>Jan 2019</v>
      </c>
      <c r="S2" s="14" t="n">
        <f aca="false">HOUR(TIMEVALUE(L2))</f>
        <v>11</v>
      </c>
      <c r="T2" s="0" t="str">
        <f aca="false">IF(S2&lt;12,"Morning",IF(S2&lt;17,"Afternoon","Evening"))</f>
        <v>Morning</v>
      </c>
      <c r="U2" s="16" t="n">
        <f aca="false">G2*H2*0.05</f>
        <v>12.952</v>
      </c>
    </row>
    <row r="3" customFormat="false" ht="15" hidden="false" customHeight="false" outlineLevel="0" collapsed="false">
      <c r="A3" s="0" t="s">
        <v>59</v>
      </c>
      <c r="B3" s="0" t="s">
        <v>29</v>
      </c>
      <c r="C3" s="0" t="s">
        <v>56</v>
      </c>
      <c r="D3" s="0" t="s">
        <v>22</v>
      </c>
      <c r="E3" s="0" t="s">
        <v>60</v>
      </c>
      <c r="F3" s="0" t="s">
        <v>36</v>
      </c>
      <c r="G3" s="16" t="n">
        <v>60.18</v>
      </c>
      <c r="H3" s="0" t="n">
        <v>1</v>
      </c>
      <c r="I3" s="16" t="n">
        <f aca="false">G3*H3*0.05</f>
        <v>3.009</v>
      </c>
      <c r="J3" s="16" t="n">
        <f aca="false">G3*H3*1.05</f>
        <v>63.189</v>
      </c>
      <c r="K3" s="17" t="n">
        <v>43466</v>
      </c>
      <c r="L3" s="14" t="s">
        <v>61</v>
      </c>
      <c r="M3" s="14" t="s">
        <v>26</v>
      </c>
      <c r="N3" s="16" t="n">
        <f aca="false">G3*H3</f>
        <v>60.18</v>
      </c>
      <c r="O3" s="18" t="n">
        <v>4.761904762</v>
      </c>
      <c r="P3" s="16" t="n">
        <f aca="false">I3</f>
        <v>3.009</v>
      </c>
      <c r="Q3" s="19" t="n">
        <v>8.3</v>
      </c>
      <c r="R3" s="0" t="str">
        <f aca="false">TEXT(K3,"mmm yyyy")</f>
        <v>Jan 2019</v>
      </c>
      <c r="S3" s="14" t="n">
        <f aca="false">HOUR(TIMEVALUE(L3))</f>
        <v>17</v>
      </c>
      <c r="T3" s="0" t="str">
        <f aca="false">IF(S3&lt;12,"Morning",IF(S3&lt;17,"Afternoon","Evening"))</f>
        <v>Evening</v>
      </c>
      <c r="U3" s="16" t="n">
        <f aca="false">G3*H3*0.05</f>
        <v>3.009</v>
      </c>
    </row>
    <row r="4" customFormat="false" ht="15" hidden="false" customHeight="false" outlineLevel="0" collapsed="false">
      <c r="A4" s="0" t="s">
        <v>62</v>
      </c>
      <c r="B4" s="0" t="s">
        <v>29</v>
      </c>
      <c r="C4" s="0" t="s">
        <v>56</v>
      </c>
      <c r="D4" s="0" t="s">
        <v>21</v>
      </c>
      <c r="E4" s="0" t="s">
        <v>57</v>
      </c>
      <c r="F4" s="0" t="s">
        <v>35</v>
      </c>
      <c r="G4" s="16" t="n">
        <v>24.57</v>
      </c>
      <c r="H4" s="0" t="n">
        <v>7</v>
      </c>
      <c r="I4" s="16" t="n">
        <f aca="false">G4*H4*0.05</f>
        <v>8.5995</v>
      </c>
      <c r="J4" s="16" t="n">
        <f aca="false">G4*H4*1.05</f>
        <v>180.5895</v>
      </c>
      <c r="K4" s="17" t="n">
        <v>43466</v>
      </c>
      <c r="L4" s="14" t="s">
        <v>63</v>
      </c>
      <c r="M4" s="14" t="s">
        <v>26</v>
      </c>
      <c r="N4" s="16" t="n">
        <f aca="false">G4*H4</f>
        <v>171.99</v>
      </c>
      <c r="O4" s="18" t="n">
        <v>4.761904762</v>
      </c>
      <c r="P4" s="16" t="n">
        <f aca="false">I4</f>
        <v>8.5995</v>
      </c>
      <c r="Q4" s="19" t="n">
        <v>8.2</v>
      </c>
      <c r="R4" s="0" t="str">
        <f aca="false">TEXT(K4,"mmm yyyy")</f>
        <v>Jan 2019</v>
      </c>
      <c r="S4" s="14" t="n">
        <f aca="false">HOUR(TIMEVALUE(L4))</f>
        <v>12</v>
      </c>
      <c r="T4" s="0" t="str">
        <f aca="false">IF(S4&lt;12,"Morning",IF(S4&lt;17,"Afternoon","Evening"))</f>
        <v>Afternoon</v>
      </c>
      <c r="U4" s="16" t="n">
        <f aca="false">G4*H4*0.05</f>
        <v>8.5995</v>
      </c>
    </row>
    <row r="5" customFormat="false" ht="15" hidden="false" customHeight="false" outlineLevel="0" collapsed="false">
      <c r="A5" s="0" t="s">
        <v>64</v>
      </c>
      <c r="B5" s="0" t="s">
        <v>33</v>
      </c>
      <c r="C5" s="0" t="s">
        <v>65</v>
      </c>
      <c r="D5" s="0" t="s">
        <v>21</v>
      </c>
      <c r="E5" s="0" t="s">
        <v>60</v>
      </c>
      <c r="F5" s="0" t="s">
        <v>35</v>
      </c>
      <c r="G5" s="16" t="n">
        <v>73.47</v>
      </c>
      <c r="H5" s="0" t="n">
        <v>10</v>
      </c>
      <c r="I5" s="16" t="n">
        <f aca="false">G5*H5*0.05</f>
        <v>36.735</v>
      </c>
      <c r="J5" s="16" t="n">
        <f aca="false">G5*H5*1.05</f>
        <v>771.435</v>
      </c>
      <c r="K5" s="17" t="n">
        <v>43466</v>
      </c>
      <c r="L5" s="14" t="s">
        <v>66</v>
      </c>
      <c r="M5" s="14" t="s">
        <v>30</v>
      </c>
      <c r="N5" s="16" t="n">
        <f aca="false">G5*H5</f>
        <v>734.7</v>
      </c>
      <c r="O5" s="18" t="n">
        <v>4.761904762</v>
      </c>
      <c r="P5" s="16" t="n">
        <f aca="false">I5</f>
        <v>36.735</v>
      </c>
      <c r="Q5" s="19" t="n">
        <v>9.8</v>
      </c>
      <c r="R5" s="0" t="str">
        <f aca="false">TEXT(K5,"mmm yyyy")</f>
        <v>Jan 2019</v>
      </c>
      <c r="S5" s="14" t="n">
        <f aca="false">HOUR(TIMEVALUE(L5))</f>
        <v>11</v>
      </c>
      <c r="T5" s="0" t="str">
        <f aca="false">IF(S5&lt;12,"Morning",IF(S5&lt;17,"Afternoon","Evening"))</f>
        <v>Morning</v>
      </c>
      <c r="U5" s="16" t="n">
        <f aca="false">G5*H5*0.05</f>
        <v>36.735</v>
      </c>
    </row>
    <row r="6" customFormat="false" ht="15" hidden="false" customHeight="false" outlineLevel="0" collapsed="false">
      <c r="A6" s="0" t="s">
        <v>67</v>
      </c>
      <c r="B6" s="0" t="s">
        <v>25</v>
      </c>
      <c r="C6" s="0" t="s">
        <v>68</v>
      </c>
      <c r="D6" s="0" t="s">
        <v>22</v>
      </c>
      <c r="E6" s="0" t="s">
        <v>57</v>
      </c>
      <c r="F6" s="0" t="s">
        <v>27</v>
      </c>
      <c r="G6" s="16" t="n">
        <v>57.92</v>
      </c>
      <c r="H6" s="0" t="n">
        <v>10</v>
      </c>
      <c r="I6" s="16" t="n">
        <f aca="false">G6*H6*0.05</f>
        <v>28.96</v>
      </c>
      <c r="J6" s="16" t="n">
        <f aca="false">G6*H6*1.05</f>
        <v>608.16</v>
      </c>
      <c r="K6" s="17" t="n">
        <v>43466</v>
      </c>
      <c r="L6" s="14" t="s">
        <v>69</v>
      </c>
      <c r="M6" s="14" t="s">
        <v>26</v>
      </c>
      <c r="N6" s="16" t="n">
        <f aca="false">G6*H6</f>
        <v>579.2</v>
      </c>
      <c r="O6" s="18" t="n">
        <v>4.761904762</v>
      </c>
      <c r="P6" s="16" t="n">
        <f aca="false">I6</f>
        <v>28.96</v>
      </c>
      <c r="Q6" s="19" t="n">
        <v>8.7</v>
      </c>
      <c r="R6" s="0" t="str">
        <f aca="false">TEXT(K6,"mmm yyyy")</f>
        <v>Jan 2019</v>
      </c>
      <c r="S6" s="14" t="n">
        <f aca="false">HOUR(TIMEVALUE(L6))</f>
        <v>19</v>
      </c>
      <c r="T6" s="0" t="str">
        <f aca="false">IF(S6&lt;12,"Morning",IF(S6&lt;17,"Afternoon","Evening"))</f>
        <v>Evening</v>
      </c>
      <c r="U6" s="16" t="n">
        <f aca="false">G6*H6*0.05</f>
        <v>28.96</v>
      </c>
    </row>
    <row r="7" customFormat="false" ht="15" hidden="false" customHeight="false" outlineLevel="0" collapsed="false">
      <c r="A7" s="0" t="s">
        <v>70</v>
      </c>
      <c r="B7" s="0" t="s">
        <v>25</v>
      </c>
      <c r="C7" s="0" t="s">
        <v>68</v>
      </c>
      <c r="D7" s="0" t="s">
        <v>22</v>
      </c>
      <c r="E7" s="0" t="s">
        <v>60</v>
      </c>
      <c r="F7" s="0" t="s">
        <v>23</v>
      </c>
      <c r="G7" s="16" t="n">
        <v>41.63</v>
      </c>
      <c r="H7" s="0" t="n">
        <v>1</v>
      </c>
      <c r="I7" s="16" t="n">
        <f aca="false">G7*H7*0.05</f>
        <v>2.0815</v>
      </c>
      <c r="J7" s="16" t="n">
        <f aca="false">G7*H7*1.05</f>
        <v>43.7115</v>
      </c>
      <c r="K7" s="17" t="n">
        <v>43466</v>
      </c>
      <c r="L7" s="14" t="s">
        <v>71</v>
      </c>
      <c r="M7" s="14" t="s">
        <v>30</v>
      </c>
      <c r="N7" s="16" t="n">
        <f aca="false">G7*H7</f>
        <v>41.63</v>
      </c>
      <c r="O7" s="18" t="n">
        <v>4.761904762</v>
      </c>
      <c r="P7" s="16" t="n">
        <f aca="false">I7</f>
        <v>2.0815</v>
      </c>
      <c r="Q7" s="19" t="n">
        <v>4.5</v>
      </c>
      <c r="R7" s="0" t="str">
        <f aca="false">TEXT(K7,"mmm yyyy")</f>
        <v>Jan 2019</v>
      </c>
      <c r="S7" s="14" t="n">
        <f aca="false">HOUR(TIMEVALUE(L7))</f>
        <v>11</v>
      </c>
      <c r="T7" s="0" t="str">
        <f aca="false">IF(S7&lt;12,"Morning",IF(S7&lt;17,"Afternoon","Evening"))</f>
        <v>Morning</v>
      </c>
      <c r="U7" s="16" t="n">
        <f aca="false">G7*H7*0.05</f>
        <v>2.0815</v>
      </c>
    </row>
    <row r="8" customFormat="false" ht="15" hidden="false" customHeight="false" outlineLevel="0" collapsed="false">
      <c r="A8" s="0" t="s">
        <v>72</v>
      </c>
      <c r="B8" s="0" t="s">
        <v>25</v>
      </c>
      <c r="C8" s="0" t="s">
        <v>68</v>
      </c>
      <c r="D8" s="0" t="s">
        <v>22</v>
      </c>
      <c r="E8" s="0" t="s">
        <v>60</v>
      </c>
      <c r="F8" s="0" t="s">
        <v>36</v>
      </c>
      <c r="G8" s="16" t="n">
        <v>61.41</v>
      </c>
      <c r="H8" s="0" t="n">
        <v>1</v>
      </c>
      <c r="I8" s="16" t="n">
        <f aca="false">G8*H8*0.05</f>
        <v>3.0705</v>
      </c>
      <c r="J8" s="16" t="n">
        <f aca="false">G8*H8*1.05</f>
        <v>64.4805</v>
      </c>
      <c r="K8" s="17" t="n">
        <v>43466</v>
      </c>
      <c r="L8" s="14" t="s">
        <v>73</v>
      </c>
      <c r="M8" s="14" t="s">
        <v>34</v>
      </c>
      <c r="N8" s="16" t="n">
        <f aca="false">G8*H8</f>
        <v>61.41</v>
      </c>
      <c r="O8" s="18" t="n">
        <v>4.761904762</v>
      </c>
      <c r="P8" s="16" t="n">
        <f aca="false">I8</f>
        <v>3.0705</v>
      </c>
      <c r="Q8" s="19" t="n">
        <v>4.4</v>
      </c>
      <c r="R8" s="0" t="str">
        <f aca="false">TEXT(K8,"mmm yyyy")</f>
        <v>Jan 2019</v>
      </c>
      <c r="S8" s="14" t="n">
        <f aca="false">HOUR(TIMEVALUE(L8))</f>
        <v>18</v>
      </c>
      <c r="T8" s="0" t="str">
        <f aca="false">IF(S8&lt;12,"Morning",IF(S8&lt;17,"Afternoon","Evening"))</f>
        <v>Evening</v>
      </c>
      <c r="U8" s="16" t="n">
        <f aca="false">G8*H8*0.05</f>
        <v>3.0705</v>
      </c>
    </row>
    <row r="9" customFormat="false" ht="15" hidden="false" customHeight="false" outlineLevel="0" collapsed="false">
      <c r="A9" s="0" t="s">
        <v>74</v>
      </c>
      <c r="B9" s="0" t="s">
        <v>29</v>
      </c>
      <c r="C9" s="0" t="s">
        <v>56</v>
      </c>
      <c r="D9" s="0" t="s">
        <v>22</v>
      </c>
      <c r="E9" s="0" t="s">
        <v>60</v>
      </c>
      <c r="F9" s="0" t="s">
        <v>23</v>
      </c>
      <c r="G9" s="16" t="n">
        <v>13.62</v>
      </c>
      <c r="H9" s="0" t="n">
        <v>1</v>
      </c>
      <c r="I9" s="16" t="n">
        <f aca="false">G9*H9*0.05</f>
        <v>0.681</v>
      </c>
      <c r="J9" s="16" t="n">
        <f aca="false">G9*H9*1.05</f>
        <v>14.301</v>
      </c>
      <c r="K9" s="17" t="n">
        <v>43466</v>
      </c>
      <c r="L9" s="14" t="s">
        <v>75</v>
      </c>
      <c r="M9" s="14" t="s">
        <v>26</v>
      </c>
      <c r="N9" s="16" t="n">
        <f aca="false">G9*H9</f>
        <v>13.62</v>
      </c>
      <c r="O9" s="18" t="n">
        <v>4.761904762</v>
      </c>
      <c r="P9" s="16" t="n">
        <f aca="false">I9</f>
        <v>0.681</v>
      </c>
      <c r="Q9" s="19" t="n">
        <v>4.8</v>
      </c>
      <c r="R9" s="0" t="str">
        <f aca="false">TEXT(K9,"mmm yyyy")</f>
        <v>Jan 2019</v>
      </c>
      <c r="S9" s="14" t="n">
        <f aca="false">HOUR(TIMEVALUE(L9))</f>
        <v>16</v>
      </c>
      <c r="T9" s="0" t="str">
        <f aca="false">IF(S9&lt;12,"Morning",IF(S9&lt;17,"Afternoon","Evening"))</f>
        <v>Afternoon</v>
      </c>
      <c r="U9" s="16" t="n">
        <f aca="false">G9*H9*0.05</f>
        <v>0.681</v>
      </c>
    </row>
    <row r="10" customFormat="false" ht="15" hidden="false" customHeight="false" outlineLevel="0" collapsed="false">
      <c r="A10" s="0" t="s">
        <v>76</v>
      </c>
      <c r="B10" s="0" t="s">
        <v>25</v>
      </c>
      <c r="C10" s="0" t="s">
        <v>68</v>
      </c>
      <c r="D10" s="0" t="s">
        <v>22</v>
      </c>
      <c r="E10" s="0" t="s">
        <v>60</v>
      </c>
      <c r="F10" s="0" t="s">
        <v>31</v>
      </c>
      <c r="G10" s="16" t="n">
        <v>27.55</v>
      </c>
      <c r="H10" s="0" t="n">
        <v>9</v>
      </c>
      <c r="I10" s="16" t="n">
        <f aca="false">G10*H10*0.05</f>
        <v>12.3975</v>
      </c>
      <c r="J10" s="16" t="n">
        <f aca="false">G10*H10*1.05</f>
        <v>260.3475</v>
      </c>
      <c r="K10" s="17" t="n">
        <v>43466</v>
      </c>
      <c r="L10" s="14" t="s">
        <v>77</v>
      </c>
      <c r="M10" s="14" t="s">
        <v>30</v>
      </c>
      <c r="N10" s="16" t="n">
        <f aca="false">G10*H10</f>
        <v>247.95</v>
      </c>
      <c r="O10" s="18" t="n">
        <v>4.761904762</v>
      </c>
      <c r="P10" s="16" t="n">
        <f aca="false">I10</f>
        <v>12.3975</v>
      </c>
      <c r="Q10" s="19" t="n">
        <v>6.7</v>
      </c>
      <c r="R10" s="0" t="str">
        <f aca="false">TEXT(K10,"mmm yyyy")</f>
        <v>Jan 2019</v>
      </c>
      <c r="S10" s="14" t="n">
        <f aca="false">HOUR(TIMEVALUE(L10))</f>
        <v>12</v>
      </c>
      <c r="T10" s="0" t="str">
        <f aca="false">IF(S10&lt;12,"Morning",IF(S10&lt;17,"Afternoon","Evening"))</f>
        <v>Afternoon</v>
      </c>
      <c r="U10" s="16" t="n">
        <f aca="false">G10*H10*0.05</f>
        <v>12.3975</v>
      </c>
    </row>
    <row r="11" customFormat="false" ht="15" hidden="false" customHeight="false" outlineLevel="0" collapsed="false">
      <c r="A11" s="0" t="s">
        <v>78</v>
      </c>
      <c r="B11" s="0" t="s">
        <v>33</v>
      </c>
      <c r="C11" s="0" t="s">
        <v>65</v>
      </c>
      <c r="D11" s="0" t="s">
        <v>21</v>
      </c>
      <c r="E11" s="0" t="s">
        <v>60</v>
      </c>
      <c r="F11" s="0" t="s">
        <v>23</v>
      </c>
      <c r="G11" s="16" t="n">
        <v>22.97</v>
      </c>
      <c r="H11" s="0" t="n">
        <v>4</v>
      </c>
      <c r="I11" s="16" t="n">
        <f aca="false">G11*H11*0.05</f>
        <v>4.594</v>
      </c>
      <c r="J11" s="16" t="n">
        <f aca="false">G11*H11*1.05</f>
        <v>96.474</v>
      </c>
      <c r="K11" s="17" t="n">
        <v>43466</v>
      </c>
      <c r="L11" s="14" t="s">
        <v>79</v>
      </c>
      <c r="M11" s="14" t="s">
        <v>30</v>
      </c>
      <c r="N11" s="16" t="n">
        <f aca="false">G11*H11</f>
        <v>91.88</v>
      </c>
      <c r="O11" s="18" t="n">
        <v>4.761904762</v>
      </c>
      <c r="P11" s="16" t="n">
        <f aca="false">I11</f>
        <v>4.594</v>
      </c>
      <c r="Q11" s="19" t="n">
        <v>9.8</v>
      </c>
      <c r="R11" s="0" t="str">
        <f aca="false">TEXT(K11,"mmm yyyy")</f>
        <v>Jan 2019</v>
      </c>
      <c r="S11" s="14" t="n">
        <f aca="false">HOUR(TIMEVALUE(L11))</f>
        <v>12</v>
      </c>
      <c r="T11" s="0" t="str">
        <f aca="false">IF(S11&lt;12,"Morning",IF(S11&lt;17,"Afternoon","Evening"))</f>
        <v>Afternoon</v>
      </c>
      <c r="U11" s="16" t="n">
        <f aca="false">G11*H11*0.05</f>
        <v>4.594</v>
      </c>
    </row>
    <row r="12" customFormat="false" ht="15" hidden="false" customHeight="false" outlineLevel="0" collapsed="false">
      <c r="A12" s="0" t="s">
        <v>80</v>
      </c>
      <c r="B12" s="0" t="s">
        <v>29</v>
      </c>
      <c r="C12" s="0" t="s">
        <v>56</v>
      </c>
      <c r="D12" s="0" t="s">
        <v>21</v>
      </c>
      <c r="E12" s="0" t="s">
        <v>57</v>
      </c>
      <c r="F12" s="0" t="s">
        <v>36</v>
      </c>
      <c r="G12" s="16" t="n">
        <v>97.79</v>
      </c>
      <c r="H12" s="0" t="n">
        <v>7</v>
      </c>
      <c r="I12" s="16" t="n">
        <f aca="false">G12*H12*0.05</f>
        <v>34.2265</v>
      </c>
      <c r="J12" s="16" t="n">
        <f aca="false">G12*H12*1.05</f>
        <v>718.7565</v>
      </c>
      <c r="K12" s="17" t="n">
        <v>43466</v>
      </c>
      <c r="L12" s="14" t="s">
        <v>81</v>
      </c>
      <c r="M12" s="14" t="s">
        <v>34</v>
      </c>
      <c r="N12" s="16" t="n">
        <f aca="false">G12*H12</f>
        <v>684.53</v>
      </c>
      <c r="O12" s="18" t="n">
        <v>4.761904762</v>
      </c>
      <c r="P12" s="16" t="n">
        <f aca="false">I12</f>
        <v>34.2265</v>
      </c>
      <c r="Q12" s="19" t="n">
        <v>9.1</v>
      </c>
      <c r="R12" s="0" t="str">
        <f aca="false">TEXT(K12,"mmm yyyy")</f>
        <v>Jan 2019</v>
      </c>
      <c r="S12" s="14" t="n">
        <f aca="false">HOUR(TIMEVALUE(L12))</f>
        <v>16</v>
      </c>
      <c r="T12" s="0" t="str">
        <f aca="false">IF(S12&lt;12,"Morning",IF(S12&lt;17,"Afternoon","Evening"))</f>
        <v>Afternoon</v>
      </c>
      <c r="U12" s="16" t="n">
        <f aca="false">G12*H12*0.05</f>
        <v>34.2265</v>
      </c>
    </row>
    <row r="13" customFormat="false" ht="15" hidden="false" customHeight="false" outlineLevel="0" collapsed="false">
      <c r="A13" s="0" t="s">
        <v>82</v>
      </c>
      <c r="B13" s="0" t="s">
        <v>29</v>
      </c>
      <c r="C13" s="0" t="s">
        <v>56</v>
      </c>
      <c r="D13" s="0" t="s">
        <v>22</v>
      </c>
      <c r="E13" s="0" t="s">
        <v>60</v>
      </c>
      <c r="F13" s="0" t="s">
        <v>31</v>
      </c>
      <c r="G13" s="16" t="n">
        <v>29.5</v>
      </c>
      <c r="H13" s="0" t="n">
        <v>2</v>
      </c>
      <c r="I13" s="16" t="n">
        <f aca="false">G13*H13*0.05</f>
        <v>2.95</v>
      </c>
      <c r="J13" s="16" t="n">
        <f aca="false">G13*H13*1.05</f>
        <v>61.95</v>
      </c>
      <c r="K13" s="17" t="n">
        <v>43467</v>
      </c>
      <c r="L13" s="14" t="s">
        <v>83</v>
      </c>
      <c r="M13" s="14" t="s">
        <v>34</v>
      </c>
      <c r="N13" s="16" t="n">
        <f aca="false">G13*H13</f>
        <v>59</v>
      </c>
      <c r="O13" s="18" t="n">
        <v>4.761904762</v>
      </c>
      <c r="P13" s="16" t="n">
        <f aca="false">I13</f>
        <v>2.95</v>
      </c>
      <c r="Q13" s="19" t="n">
        <v>9</v>
      </c>
      <c r="R13" s="0" t="str">
        <f aca="false">TEXT(K13,"mmm yyyy")</f>
        <v>Jan 2019</v>
      </c>
      <c r="S13" s="14" t="n">
        <f aca="false">HOUR(TIMEVALUE(L13))</f>
        <v>20</v>
      </c>
      <c r="T13" s="0" t="str">
        <f aca="false">IF(S13&lt;12,"Morning",IF(S13&lt;17,"Afternoon","Evening"))</f>
        <v>Evening</v>
      </c>
      <c r="U13" s="16" t="n">
        <f aca="false">G13*H13*0.05</f>
        <v>2.95</v>
      </c>
    </row>
    <row r="14" customFormat="false" ht="15" hidden="false" customHeight="false" outlineLevel="0" collapsed="false">
      <c r="A14" s="0" t="s">
        <v>84</v>
      </c>
      <c r="B14" s="0" t="s">
        <v>33</v>
      </c>
      <c r="C14" s="0" t="s">
        <v>65</v>
      </c>
      <c r="D14" s="0" t="s">
        <v>22</v>
      </c>
      <c r="E14" s="0" t="s">
        <v>60</v>
      </c>
      <c r="F14" s="0" t="s">
        <v>23</v>
      </c>
      <c r="G14" s="16" t="n">
        <v>16.84</v>
      </c>
      <c r="H14" s="0" t="n">
        <v>7</v>
      </c>
      <c r="I14" s="16" t="n">
        <f aca="false">G14*H14*0.05</f>
        <v>5.894</v>
      </c>
      <c r="J14" s="16" t="n">
        <f aca="false">G14*H14*1.05</f>
        <v>123.774</v>
      </c>
      <c r="K14" s="17" t="n">
        <v>43467</v>
      </c>
      <c r="L14" s="14" t="s">
        <v>85</v>
      </c>
      <c r="M14" s="14" t="s">
        <v>30</v>
      </c>
      <c r="N14" s="16" t="n">
        <f aca="false">G14*H14</f>
        <v>117.88</v>
      </c>
      <c r="O14" s="18" t="n">
        <v>4.761904762</v>
      </c>
      <c r="P14" s="16" t="n">
        <f aca="false">I14</f>
        <v>5.894</v>
      </c>
      <c r="Q14" s="19" t="n">
        <v>7.9</v>
      </c>
      <c r="R14" s="0" t="str">
        <f aca="false">TEXT(K14,"mmm yyyy")</f>
        <v>Jan 2019</v>
      </c>
      <c r="S14" s="14" t="n">
        <f aca="false">HOUR(TIMEVALUE(L14))</f>
        <v>11</v>
      </c>
      <c r="T14" s="0" t="str">
        <f aca="false">IF(S14&lt;12,"Morning",IF(S14&lt;17,"Afternoon","Evening"))</f>
        <v>Morning</v>
      </c>
      <c r="U14" s="16" t="n">
        <f aca="false">G14*H14*0.05</f>
        <v>5.894</v>
      </c>
    </row>
    <row r="15" customFormat="false" ht="15" hidden="false" customHeight="false" outlineLevel="0" collapsed="false">
      <c r="A15" s="0" t="s">
        <v>86</v>
      </c>
      <c r="B15" s="0" t="s">
        <v>29</v>
      </c>
      <c r="C15" s="0" t="s">
        <v>56</v>
      </c>
      <c r="D15" s="0" t="s">
        <v>22</v>
      </c>
      <c r="E15" s="0" t="s">
        <v>60</v>
      </c>
      <c r="F15" s="0" t="s">
        <v>37</v>
      </c>
      <c r="G15" s="16" t="n">
        <v>51.49</v>
      </c>
      <c r="H15" s="0" t="n">
        <v>7</v>
      </c>
      <c r="I15" s="16" t="n">
        <f aca="false">G15*H15*0.05</f>
        <v>18.0215</v>
      </c>
      <c r="J15" s="16" t="n">
        <f aca="false">G15*H15*1.05</f>
        <v>378.4515</v>
      </c>
      <c r="K15" s="17" t="n">
        <v>43467</v>
      </c>
      <c r="L15" s="14" t="s">
        <v>87</v>
      </c>
      <c r="M15" s="14" t="s">
        <v>34</v>
      </c>
      <c r="N15" s="16" t="n">
        <f aca="false">G15*H15</f>
        <v>360.43</v>
      </c>
      <c r="O15" s="18" t="n">
        <v>4.761904762</v>
      </c>
      <c r="P15" s="16" t="n">
        <f aca="false">I15</f>
        <v>18.0215</v>
      </c>
      <c r="Q15" s="19" t="n">
        <v>4.2</v>
      </c>
      <c r="R15" s="0" t="str">
        <f aca="false">TEXT(K15,"mmm yyyy")</f>
        <v>Jan 2019</v>
      </c>
      <c r="S15" s="14" t="n">
        <f aca="false">HOUR(TIMEVALUE(L15))</f>
        <v>10</v>
      </c>
      <c r="T15" s="0" t="str">
        <f aca="false">IF(S15&lt;12,"Morning",IF(S15&lt;17,"Afternoon","Evening"))</f>
        <v>Morning</v>
      </c>
      <c r="U15" s="16" t="n">
        <f aca="false">G15*H15*0.05</f>
        <v>18.0215</v>
      </c>
    </row>
    <row r="16" customFormat="false" ht="15" hidden="false" customHeight="false" outlineLevel="0" collapsed="false">
      <c r="A16" s="0" t="s">
        <v>88</v>
      </c>
      <c r="B16" s="0" t="s">
        <v>33</v>
      </c>
      <c r="C16" s="0" t="s">
        <v>65</v>
      </c>
      <c r="D16" s="0" t="s">
        <v>22</v>
      </c>
      <c r="E16" s="0" t="s">
        <v>57</v>
      </c>
      <c r="F16" s="0" t="s">
        <v>27</v>
      </c>
      <c r="G16" s="16" t="n">
        <v>91.1</v>
      </c>
      <c r="H16" s="0" t="n">
        <v>4</v>
      </c>
      <c r="I16" s="16" t="n">
        <f aca="false">G16*H16*0.05</f>
        <v>18.22</v>
      </c>
      <c r="J16" s="16" t="n">
        <f aca="false">G16*H16*1.05</f>
        <v>382.62</v>
      </c>
      <c r="K16" s="17" t="n">
        <v>43467</v>
      </c>
      <c r="L16" s="14" t="s">
        <v>89</v>
      </c>
      <c r="M16" s="14" t="s">
        <v>30</v>
      </c>
      <c r="N16" s="16" t="n">
        <f aca="false">G16*H16</f>
        <v>364.4</v>
      </c>
      <c r="O16" s="18" t="n">
        <v>4.761904762</v>
      </c>
      <c r="P16" s="16" t="n">
        <f aca="false">I16</f>
        <v>18.22</v>
      </c>
      <c r="Q16" s="19" t="n">
        <v>4.4</v>
      </c>
      <c r="R16" s="0" t="str">
        <f aca="false">TEXT(K16,"mmm yyyy")</f>
        <v>Jan 2019</v>
      </c>
      <c r="S16" s="14" t="n">
        <f aca="false">HOUR(TIMEVALUE(L16))</f>
        <v>17</v>
      </c>
      <c r="T16" s="0" t="str">
        <f aca="false">IF(S16&lt;12,"Morning",IF(S16&lt;17,"Afternoon","Evening"))</f>
        <v>Evening</v>
      </c>
      <c r="U16" s="16" t="n">
        <f aca="false">G16*H16*0.05</f>
        <v>18.22</v>
      </c>
    </row>
    <row r="17" customFormat="false" ht="15" hidden="false" customHeight="false" outlineLevel="0" collapsed="false">
      <c r="A17" s="0" t="s">
        <v>90</v>
      </c>
      <c r="B17" s="0" t="s">
        <v>29</v>
      </c>
      <c r="C17" s="0" t="s">
        <v>56</v>
      </c>
      <c r="D17" s="0" t="s">
        <v>22</v>
      </c>
      <c r="E17" s="0" t="s">
        <v>60</v>
      </c>
      <c r="F17" s="0" t="s">
        <v>36</v>
      </c>
      <c r="G17" s="16" t="n">
        <v>80.28</v>
      </c>
      <c r="H17" s="0" t="n">
        <v>4</v>
      </c>
      <c r="I17" s="16" t="n">
        <f aca="false">G17*H17*0.05</f>
        <v>16.056</v>
      </c>
      <c r="J17" s="16" t="n">
        <f aca="false">G17*H17*1.05</f>
        <v>337.176</v>
      </c>
      <c r="K17" s="17" t="n">
        <v>43467</v>
      </c>
      <c r="L17" s="14" t="s">
        <v>91</v>
      </c>
      <c r="M17" s="14" t="s">
        <v>26</v>
      </c>
      <c r="N17" s="16" t="n">
        <f aca="false">G17*H17</f>
        <v>321.12</v>
      </c>
      <c r="O17" s="18" t="n">
        <v>4.761904762</v>
      </c>
      <c r="P17" s="16" t="n">
        <f aca="false">I17</f>
        <v>16.056</v>
      </c>
      <c r="Q17" s="19" t="n">
        <v>5.1</v>
      </c>
      <c r="R17" s="0" t="str">
        <f aca="false">TEXT(K17,"mmm yyyy")</f>
        <v>Jan 2019</v>
      </c>
      <c r="S17" s="14" t="n">
        <f aca="false">HOUR(TIMEVALUE(L17))</f>
        <v>20</v>
      </c>
      <c r="T17" s="0" t="str">
        <f aca="false">IF(S17&lt;12,"Morning",IF(S17&lt;17,"Afternoon","Evening"))</f>
        <v>Evening</v>
      </c>
      <c r="U17" s="16" t="n">
        <f aca="false">G17*H17*0.05</f>
        <v>16.056</v>
      </c>
    </row>
    <row r="18" customFormat="false" ht="15" hidden="false" customHeight="false" outlineLevel="0" collapsed="false">
      <c r="A18" s="0" t="s">
        <v>92</v>
      </c>
      <c r="B18" s="0" t="s">
        <v>25</v>
      </c>
      <c r="C18" s="0" t="s">
        <v>68</v>
      </c>
      <c r="D18" s="0" t="s">
        <v>21</v>
      </c>
      <c r="E18" s="0" t="s">
        <v>57</v>
      </c>
      <c r="F18" s="0" t="s">
        <v>27</v>
      </c>
      <c r="G18" s="16" t="n">
        <v>94.33</v>
      </c>
      <c r="H18" s="0" t="n">
        <v>4</v>
      </c>
      <c r="I18" s="16" t="n">
        <f aca="false">G18*H18*0.05</f>
        <v>18.866</v>
      </c>
      <c r="J18" s="16" t="n">
        <f aca="false">G18*H18*1.05</f>
        <v>396.186</v>
      </c>
      <c r="K18" s="17" t="n">
        <v>43467</v>
      </c>
      <c r="L18" s="14" t="s">
        <v>93</v>
      </c>
      <c r="M18" s="14" t="s">
        <v>34</v>
      </c>
      <c r="N18" s="16" t="n">
        <f aca="false">G18*H18</f>
        <v>377.32</v>
      </c>
      <c r="O18" s="18" t="n">
        <v>4.761904762</v>
      </c>
      <c r="P18" s="16" t="n">
        <f aca="false">I18</f>
        <v>18.866</v>
      </c>
      <c r="Q18" s="19" t="n">
        <v>8</v>
      </c>
      <c r="R18" s="0" t="str">
        <f aca="false">TEXT(K18,"mmm yyyy")</f>
        <v>Jan 2019</v>
      </c>
      <c r="S18" s="14" t="n">
        <f aca="false">HOUR(TIMEVALUE(L18))</f>
        <v>19</v>
      </c>
      <c r="T18" s="0" t="str">
        <f aca="false">IF(S18&lt;12,"Morning",IF(S18&lt;17,"Afternoon","Evening"))</f>
        <v>Evening</v>
      </c>
      <c r="U18" s="16" t="n">
        <f aca="false">G18*H18*0.05</f>
        <v>18.866</v>
      </c>
    </row>
    <row r="19" customFormat="false" ht="15" hidden="false" customHeight="false" outlineLevel="0" collapsed="false">
      <c r="A19" s="0" t="s">
        <v>94</v>
      </c>
      <c r="B19" s="0" t="s">
        <v>29</v>
      </c>
      <c r="C19" s="0" t="s">
        <v>56</v>
      </c>
      <c r="D19" s="0" t="s">
        <v>21</v>
      </c>
      <c r="E19" s="0" t="s">
        <v>57</v>
      </c>
      <c r="F19" s="0" t="s">
        <v>35</v>
      </c>
      <c r="G19" s="16" t="n">
        <v>98.61</v>
      </c>
      <c r="H19" s="0" t="n">
        <v>5</v>
      </c>
      <c r="I19" s="16" t="n">
        <f aca="false">G19*H19*0.05</f>
        <v>24.6525</v>
      </c>
      <c r="J19" s="16" t="n">
        <f aca="false">G19*H19*1.05</f>
        <v>517.7025</v>
      </c>
      <c r="K19" s="17" t="n">
        <v>43467</v>
      </c>
      <c r="L19" s="14" t="s">
        <v>95</v>
      </c>
      <c r="M19" s="14" t="s">
        <v>30</v>
      </c>
      <c r="N19" s="16" t="n">
        <f aca="false">G19*H19</f>
        <v>493.05</v>
      </c>
      <c r="O19" s="18" t="n">
        <v>4.761904762</v>
      </c>
      <c r="P19" s="16" t="n">
        <f aca="false">I19</f>
        <v>24.6525</v>
      </c>
      <c r="Q19" s="19" t="n">
        <v>7.4</v>
      </c>
      <c r="R19" s="0" t="str">
        <f aca="false">TEXT(K19,"mmm yyyy")</f>
        <v>Jan 2019</v>
      </c>
      <c r="S19" s="14" t="n">
        <f aca="false">HOUR(TIMEVALUE(L19))</f>
        <v>19</v>
      </c>
      <c r="T19" s="0" t="str">
        <f aca="false">IF(S19&lt;12,"Morning",IF(S19&lt;17,"Afternoon","Evening"))</f>
        <v>Evening</v>
      </c>
      <c r="U19" s="16" t="n">
        <f aca="false">G19*H19*0.05</f>
        <v>24.6525</v>
      </c>
    </row>
    <row r="20" customFormat="false" ht="15" hidden="false" customHeight="false" outlineLevel="0" collapsed="false">
      <c r="A20" s="0" t="s">
        <v>96</v>
      </c>
      <c r="B20" s="0" t="s">
        <v>25</v>
      </c>
      <c r="C20" s="0" t="s">
        <v>68</v>
      </c>
      <c r="D20" s="0" t="s">
        <v>22</v>
      </c>
      <c r="E20" s="0" t="s">
        <v>57</v>
      </c>
      <c r="F20" s="0" t="s">
        <v>35</v>
      </c>
      <c r="G20" s="16" t="n">
        <v>45.4</v>
      </c>
      <c r="H20" s="0" t="n">
        <v>3</v>
      </c>
      <c r="I20" s="16" t="n">
        <f aca="false">G20*H20*0.05</f>
        <v>6.81</v>
      </c>
      <c r="J20" s="16" t="n">
        <f aca="false">G20*H20*1.05</f>
        <v>143.01</v>
      </c>
      <c r="K20" s="17" t="n">
        <v>43467</v>
      </c>
      <c r="L20" s="14" t="s">
        <v>97</v>
      </c>
      <c r="M20" s="14" t="s">
        <v>30</v>
      </c>
      <c r="N20" s="16" t="n">
        <f aca="false">G20*H20</f>
        <v>136.2</v>
      </c>
      <c r="O20" s="18" t="n">
        <v>4.761904762</v>
      </c>
      <c r="P20" s="16" t="n">
        <f aca="false">I20</f>
        <v>6.81</v>
      </c>
      <c r="Q20" s="19" t="n">
        <v>6.8</v>
      </c>
      <c r="R20" s="0" t="str">
        <f aca="false">TEXT(K20,"mmm yyyy")</f>
        <v>Jan 2019</v>
      </c>
      <c r="S20" s="14" t="n">
        <f aca="false">HOUR(TIMEVALUE(L20))</f>
        <v>18</v>
      </c>
      <c r="T20" s="0" t="str">
        <f aca="false">IF(S20&lt;12,"Morning",IF(S20&lt;17,"Afternoon","Evening"))</f>
        <v>Evening</v>
      </c>
      <c r="U20" s="16" t="n">
        <f aca="false">G20*H20*0.05</f>
        <v>6.81</v>
      </c>
    </row>
    <row r="21" customFormat="false" ht="15" hidden="false" customHeight="false" outlineLevel="0" collapsed="false">
      <c r="A21" s="0" t="s">
        <v>98</v>
      </c>
      <c r="B21" s="0" t="s">
        <v>33</v>
      </c>
      <c r="C21" s="0" t="s">
        <v>65</v>
      </c>
      <c r="D21" s="0" t="s">
        <v>21</v>
      </c>
      <c r="E21" s="0" t="s">
        <v>60</v>
      </c>
      <c r="F21" s="0" t="s">
        <v>35</v>
      </c>
      <c r="G21" s="16" t="n">
        <v>77.59</v>
      </c>
      <c r="H21" s="0" t="n">
        <v>7</v>
      </c>
      <c r="I21" s="16" t="n">
        <f aca="false">G21*H21*0.05</f>
        <v>27.1565</v>
      </c>
      <c r="J21" s="16" t="n">
        <f aca="false">G21*H21*1.05</f>
        <v>570.2865</v>
      </c>
      <c r="K21" s="17" t="n">
        <v>43467</v>
      </c>
      <c r="L21" s="14" t="s">
        <v>79</v>
      </c>
      <c r="M21" s="14" t="s">
        <v>30</v>
      </c>
      <c r="N21" s="16" t="n">
        <f aca="false">G21*H21</f>
        <v>543.13</v>
      </c>
      <c r="O21" s="18" t="n">
        <v>4.761904762</v>
      </c>
      <c r="P21" s="16" t="n">
        <f aca="false">I21</f>
        <v>27.1565</v>
      </c>
      <c r="Q21" s="19" t="n">
        <v>4.1</v>
      </c>
      <c r="R21" s="0" t="str">
        <f aca="false">TEXT(K21,"mmm yyyy")</f>
        <v>Jan 2019</v>
      </c>
      <c r="S21" s="14" t="n">
        <f aca="false">HOUR(TIMEVALUE(L21))</f>
        <v>12</v>
      </c>
      <c r="T21" s="0" t="str">
        <f aca="false">IF(S21&lt;12,"Morning",IF(S21&lt;17,"Afternoon","Evening"))</f>
        <v>Afternoon</v>
      </c>
      <c r="U21" s="16" t="n">
        <f aca="false">G21*H21*0.05</f>
        <v>27.1565</v>
      </c>
    </row>
    <row r="22" customFormat="false" ht="15" hidden="false" customHeight="false" outlineLevel="0" collapsed="false">
      <c r="A22" s="0" t="s">
        <v>99</v>
      </c>
      <c r="B22" s="0" t="s">
        <v>29</v>
      </c>
      <c r="C22" s="0" t="s">
        <v>56</v>
      </c>
      <c r="D22" s="0" t="s">
        <v>21</v>
      </c>
      <c r="E22" s="0" t="s">
        <v>57</v>
      </c>
      <c r="F22" s="0" t="s">
        <v>35</v>
      </c>
      <c r="G22" s="16" t="n">
        <v>18.96</v>
      </c>
      <c r="H22" s="0" t="n">
        <v>5</v>
      </c>
      <c r="I22" s="16" t="n">
        <f aca="false">G22*H22*0.05</f>
        <v>4.74</v>
      </c>
      <c r="J22" s="16" t="n">
        <f aca="false">G22*H22*1.05</f>
        <v>99.54</v>
      </c>
      <c r="K22" s="17" t="n">
        <v>43467</v>
      </c>
      <c r="L22" s="14" t="s">
        <v>100</v>
      </c>
      <c r="M22" s="14" t="s">
        <v>34</v>
      </c>
      <c r="N22" s="16" t="n">
        <f aca="false">G22*H22</f>
        <v>94.8</v>
      </c>
      <c r="O22" s="18" t="n">
        <v>4.761904762</v>
      </c>
      <c r="P22" s="16" t="n">
        <f aca="false">I22</f>
        <v>4.74</v>
      </c>
      <c r="Q22" s="19" t="n">
        <v>9.2</v>
      </c>
      <c r="R22" s="0" t="str">
        <f aca="false">TEXT(K22,"mmm yyyy")</f>
        <v>Jan 2019</v>
      </c>
      <c r="S22" s="14" t="n">
        <f aca="false">HOUR(TIMEVALUE(L22))</f>
        <v>14</v>
      </c>
      <c r="T22" s="0" t="str">
        <f aca="false">IF(S22&lt;12,"Morning",IF(S22&lt;17,"Afternoon","Evening"))</f>
        <v>Afternoon</v>
      </c>
      <c r="U22" s="16" t="n">
        <f aca="false">G22*H22*0.05</f>
        <v>4.74</v>
      </c>
    </row>
    <row r="23" customFormat="false" ht="15" hidden="false" customHeight="false" outlineLevel="0" collapsed="false">
      <c r="A23" s="0" t="s">
        <v>101</v>
      </c>
      <c r="B23" s="0" t="s">
        <v>29</v>
      </c>
      <c r="C23" s="0" t="s">
        <v>56</v>
      </c>
      <c r="D23" s="0" t="s">
        <v>21</v>
      </c>
      <c r="E23" s="0" t="s">
        <v>57</v>
      </c>
      <c r="F23" s="0" t="s">
        <v>35</v>
      </c>
      <c r="G23" s="16" t="n">
        <v>71.47</v>
      </c>
      <c r="H23" s="0" t="n">
        <v>5</v>
      </c>
      <c r="I23" s="16" t="n">
        <f aca="false">G23*H23*0.05</f>
        <v>17.8675</v>
      </c>
      <c r="J23" s="16" t="n">
        <f aca="false">G23*H23*1.05</f>
        <v>375.2175</v>
      </c>
      <c r="K23" s="17" t="n">
        <v>43467</v>
      </c>
      <c r="L23" s="14" t="s">
        <v>102</v>
      </c>
      <c r="M23" s="14" t="s">
        <v>34</v>
      </c>
      <c r="N23" s="16" t="n">
        <f aca="false">G23*H23</f>
        <v>357.35</v>
      </c>
      <c r="O23" s="18" t="n">
        <v>4.761904762</v>
      </c>
      <c r="P23" s="16" t="n">
        <f aca="false">I23</f>
        <v>17.8675</v>
      </c>
      <c r="Q23" s="19" t="n">
        <v>4.7</v>
      </c>
      <c r="R23" s="0" t="str">
        <f aca="false">TEXT(K23,"mmm yyyy")</f>
        <v>Jan 2019</v>
      </c>
      <c r="S23" s="14" t="n">
        <f aca="false">HOUR(TIMEVALUE(L23))</f>
        <v>15</v>
      </c>
      <c r="T23" s="0" t="str">
        <f aca="false">IF(S23&lt;12,"Morning",IF(S23&lt;17,"Afternoon","Evening"))</f>
        <v>Afternoon</v>
      </c>
      <c r="U23" s="16" t="n">
        <f aca="false">G23*H23*0.05</f>
        <v>17.8675</v>
      </c>
    </row>
    <row r="24" customFormat="false" ht="15" hidden="false" customHeight="false" outlineLevel="0" collapsed="false">
      <c r="A24" s="0" t="s">
        <v>103</v>
      </c>
      <c r="B24" s="0" t="s">
        <v>25</v>
      </c>
      <c r="C24" s="0" t="s">
        <v>68</v>
      </c>
      <c r="D24" s="0" t="s">
        <v>22</v>
      </c>
      <c r="E24" s="0" t="s">
        <v>60</v>
      </c>
      <c r="F24" s="0" t="s">
        <v>36</v>
      </c>
      <c r="G24" s="16" t="n">
        <v>27.52</v>
      </c>
      <c r="H24" s="0" t="n">
        <v>6</v>
      </c>
      <c r="I24" s="16" t="n">
        <f aca="false">G24*H24*0.05</f>
        <v>8.256</v>
      </c>
      <c r="J24" s="16" t="n">
        <f aca="false">G24*H24*1.05</f>
        <v>173.376</v>
      </c>
      <c r="K24" s="17" t="n">
        <v>43468</v>
      </c>
      <c r="L24" s="14" t="s">
        <v>104</v>
      </c>
      <c r="M24" s="14" t="s">
        <v>34</v>
      </c>
      <c r="N24" s="16" t="n">
        <f aca="false">G24*H24</f>
        <v>165.12</v>
      </c>
      <c r="O24" s="18" t="n">
        <v>4.761904762</v>
      </c>
      <c r="P24" s="16" t="n">
        <f aca="false">I24</f>
        <v>8.256</v>
      </c>
      <c r="Q24" s="19" t="n">
        <v>4.5</v>
      </c>
      <c r="R24" s="0" t="str">
        <f aca="false">TEXT(K24,"mmm yyyy")</f>
        <v>Jan 2019</v>
      </c>
      <c r="S24" s="14" t="n">
        <f aca="false">HOUR(TIMEVALUE(L24))</f>
        <v>13</v>
      </c>
      <c r="T24" s="0" t="str">
        <f aca="false">IF(S24&lt;12,"Morning",IF(S24&lt;17,"Afternoon","Evening"))</f>
        <v>Afternoon</v>
      </c>
      <c r="U24" s="16" t="n">
        <f aca="false">G24*H24*0.05</f>
        <v>8.256</v>
      </c>
    </row>
    <row r="25" customFormat="false" ht="15" hidden="false" customHeight="false" outlineLevel="0" collapsed="false">
      <c r="A25" s="0" t="s">
        <v>105</v>
      </c>
      <c r="B25" s="0" t="s">
        <v>25</v>
      </c>
      <c r="C25" s="0" t="s">
        <v>68</v>
      </c>
      <c r="D25" s="0" t="s">
        <v>22</v>
      </c>
      <c r="E25" s="0" t="s">
        <v>60</v>
      </c>
      <c r="F25" s="0" t="s">
        <v>37</v>
      </c>
      <c r="G25" s="16" t="n">
        <v>39.01</v>
      </c>
      <c r="H25" s="0" t="n">
        <v>5</v>
      </c>
      <c r="I25" s="16" t="n">
        <f aca="false">G25*H25*0.05</f>
        <v>9.7525</v>
      </c>
      <c r="J25" s="16" t="n">
        <f aca="false">G25*H25*1.05</f>
        <v>204.8025</v>
      </c>
      <c r="K25" s="17" t="n">
        <v>43468</v>
      </c>
      <c r="L25" s="14" t="s">
        <v>106</v>
      </c>
      <c r="M25" s="14" t="s">
        <v>34</v>
      </c>
      <c r="N25" s="16" t="n">
        <f aca="false">G25*H25</f>
        <v>195.05</v>
      </c>
      <c r="O25" s="18" t="n">
        <v>4.761904762</v>
      </c>
      <c r="P25" s="16" t="n">
        <f aca="false">I25</f>
        <v>9.7525</v>
      </c>
      <c r="Q25" s="19" t="n">
        <v>7.4</v>
      </c>
      <c r="R25" s="0" t="str">
        <f aca="false">TEXT(K25,"mmm yyyy")</f>
        <v>Jan 2019</v>
      </c>
      <c r="S25" s="14" t="n">
        <f aca="false">HOUR(TIMEVALUE(L25))</f>
        <v>16</v>
      </c>
      <c r="T25" s="0" t="str">
        <f aca="false">IF(S25&lt;12,"Morning",IF(S25&lt;17,"Afternoon","Evening"))</f>
        <v>Afternoon</v>
      </c>
      <c r="U25" s="16" t="n">
        <f aca="false">G25*H25*0.05</f>
        <v>9.7525</v>
      </c>
    </row>
    <row r="26" customFormat="false" ht="15" hidden="false" customHeight="false" outlineLevel="0" collapsed="false">
      <c r="A26" s="0" t="s">
        <v>107</v>
      </c>
      <c r="B26" s="0" t="s">
        <v>25</v>
      </c>
      <c r="C26" s="0" t="s">
        <v>68</v>
      </c>
      <c r="D26" s="0" t="s">
        <v>21</v>
      </c>
      <c r="E26" s="0" t="s">
        <v>57</v>
      </c>
      <c r="F26" s="0" t="s">
        <v>27</v>
      </c>
      <c r="G26" s="16" t="n">
        <v>58.9</v>
      </c>
      <c r="H26" s="0" t="n">
        <v>10</v>
      </c>
      <c r="I26" s="16" t="n">
        <f aca="false">G26*H26*0.05</f>
        <v>29.45</v>
      </c>
      <c r="J26" s="16" t="n">
        <f aca="false">G26*H26*1.05</f>
        <v>618.45</v>
      </c>
      <c r="K26" s="17" t="n">
        <v>43468</v>
      </c>
      <c r="L26" s="14" t="s">
        <v>108</v>
      </c>
      <c r="M26" s="14" t="s">
        <v>26</v>
      </c>
      <c r="N26" s="16" t="n">
        <f aca="false">G26*H26</f>
        <v>589</v>
      </c>
      <c r="O26" s="18" t="n">
        <v>4.761904762</v>
      </c>
      <c r="P26" s="16" t="n">
        <f aca="false">I26</f>
        <v>29.45</v>
      </c>
      <c r="Q26" s="19" t="n">
        <v>6.6</v>
      </c>
      <c r="R26" s="0" t="str">
        <f aca="false">TEXT(K26,"mmm yyyy")</f>
        <v>Jan 2019</v>
      </c>
      <c r="S26" s="14" t="n">
        <f aca="false">HOUR(TIMEVALUE(L26))</f>
        <v>18</v>
      </c>
      <c r="T26" s="0" t="str">
        <f aca="false">IF(S26&lt;12,"Morning",IF(S26&lt;17,"Afternoon","Evening"))</f>
        <v>Evening</v>
      </c>
      <c r="U26" s="16" t="n">
        <f aca="false">G26*H26*0.05</f>
        <v>29.45</v>
      </c>
    </row>
    <row r="27" customFormat="false" ht="15" hidden="false" customHeight="false" outlineLevel="0" collapsed="false">
      <c r="A27" s="0" t="s">
        <v>109</v>
      </c>
      <c r="B27" s="0" t="s">
        <v>33</v>
      </c>
      <c r="C27" s="0" t="s">
        <v>65</v>
      </c>
      <c r="D27" s="0" t="s">
        <v>22</v>
      </c>
      <c r="E27" s="0" t="s">
        <v>57</v>
      </c>
      <c r="F27" s="0" t="s">
        <v>31</v>
      </c>
      <c r="G27" s="16" t="n">
        <v>87.48</v>
      </c>
      <c r="H27" s="0" t="n">
        <v>7</v>
      </c>
      <c r="I27" s="16" t="n">
        <f aca="false">G27*H27*0.05</f>
        <v>30.618</v>
      </c>
      <c r="J27" s="16" t="n">
        <f aca="false">G27*H27*1.05</f>
        <v>642.978</v>
      </c>
      <c r="K27" s="17" t="n">
        <v>43468</v>
      </c>
      <c r="L27" s="14" t="s">
        <v>110</v>
      </c>
      <c r="M27" s="14" t="s">
        <v>30</v>
      </c>
      <c r="N27" s="16" t="n">
        <f aca="false">G27*H27</f>
        <v>612.36</v>
      </c>
      <c r="O27" s="18" t="n">
        <v>4.761904762</v>
      </c>
      <c r="P27" s="16" t="n">
        <f aca="false">I27</f>
        <v>30.618</v>
      </c>
      <c r="Q27" s="19" t="n">
        <v>4.8</v>
      </c>
      <c r="R27" s="0" t="str">
        <f aca="false">TEXT(K27,"mmm yyyy")</f>
        <v>Jan 2019</v>
      </c>
      <c r="S27" s="14" t="n">
        <f aca="false">HOUR(TIMEVALUE(L27))</f>
        <v>18</v>
      </c>
      <c r="T27" s="0" t="str">
        <f aca="false">IF(S27&lt;12,"Morning",IF(S27&lt;17,"Afternoon","Evening"))</f>
        <v>Evening</v>
      </c>
      <c r="U27" s="16" t="n">
        <f aca="false">G27*H27*0.05</f>
        <v>30.618</v>
      </c>
    </row>
    <row r="28" customFormat="false" ht="15" hidden="false" customHeight="false" outlineLevel="0" collapsed="false">
      <c r="A28" s="0" t="s">
        <v>111</v>
      </c>
      <c r="B28" s="0" t="s">
        <v>33</v>
      </c>
      <c r="C28" s="0" t="s">
        <v>65</v>
      </c>
      <c r="D28" s="0" t="s">
        <v>22</v>
      </c>
      <c r="E28" s="0" t="s">
        <v>60</v>
      </c>
      <c r="F28" s="0" t="s">
        <v>31</v>
      </c>
      <c r="G28" s="16" t="n">
        <v>48.41</v>
      </c>
      <c r="H28" s="0" t="n">
        <v>4</v>
      </c>
      <c r="I28" s="16" t="n">
        <f aca="false">G28*H28*0.05</f>
        <v>9.682</v>
      </c>
      <c r="J28" s="16" t="n">
        <f aca="false">G28*H28*1.05</f>
        <v>203.322</v>
      </c>
      <c r="K28" s="17" t="n">
        <v>43468</v>
      </c>
      <c r="L28" s="14" t="s">
        <v>112</v>
      </c>
      <c r="M28" s="14" t="s">
        <v>30</v>
      </c>
      <c r="N28" s="16" t="n">
        <f aca="false">G28*H28</f>
        <v>193.64</v>
      </c>
      <c r="O28" s="18" t="n">
        <v>4.761904762</v>
      </c>
      <c r="P28" s="16" t="n">
        <f aca="false">I28</f>
        <v>9.682</v>
      </c>
      <c r="Q28" s="19" t="n">
        <v>8.1</v>
      </c>
      <c r="R28" s="0" t="str">
        <f aca="false">TEXT(K28,"mmm yyyy")</f>
        <v>Jan 2019</v>
      </c>
      <c r="S28" s="14" t="n">
        <f aca="false">HOUR(TIMEVALUE(L28))</f>
        <v>12</v>
      </c>
      <c r="T28" s="0" t="str">
        <f aca="false">IF(S28&lt;12,"Morning",IF(S28&lt;17,"Afternoon","Evening"))</f>
        <v>Afternoon</v>
      </c>
      <c r="U28" s="16" t="n">
        <f aca="false">G28*H28*0.05</f>
        <v>9.682</v>
      </c>
    </row>
    <row r="29" customFormat="false" ht="15" hidden="false" customHeight="false" outlineLevel="0" collapsed="false">
      <c r="A29" s="0" t="s">
        <v>113</v>
      </c>
      <c r="B29" s="0" t="s">
        <v>25</v>
      </c>
      <c r="C29" s="0" t="s">
        <v>68</v>
      </c>
      <c r="D29" s="0" t="s">
        <v>22</v>
      </c>
      <c r="E29" s="0" t="s">
        <v>60</v>
      </c>
      <c r="F29" s="0" t="s">
        <v>35</v>
      </c>
      <c r="G29" s="16" t="n">
        <v>11.17</v>
      </c>
      <c r="H29" s="0" t="n">
        <v>8</v>
      </c>
      <c r="I29" s="16" t="n">
        <f aca="false">G29*H29*0.05</f>
        <v>4.468</v>
      </c>
      <c r="J29" s="16" t="n">
        <f aca="false">G29*H29*1.05</f>
        <v>93.828</v>
      </c>
      <c r="K29" s="17" t="n">
        <v>43468</v>
      </c>
      <c r="L29" s="14" t="s">
        <v>114</v>
      </c>
      <c r="M29" s="14" t="s">
        <v>30</v>
      </c>
      <c r="N29" s="16" t="n">
        <f aca="false">G29*H29</f>
        <v>89.36</v>
      </c>
      <c r="O29" s="18" t="n">
        <v>4.761904762</v>
      </c>
      <c r="P29" s="16" t="n">
        <f aca="false">I29</f>
        <v>4.468</v>
      </c>
      <c r="Q29" s="19" t="n">
        <v>9</v>
      </c>
      <c r="R29" s="0" t="str">
        <f aca="false">TEXT(K29,"mmm yyyy")</f>
        <v>Jan 2019</v>
      </c>
      <c r="S29" s="14" t="n">
        <f aca="false">HOUR(TIMEVALUE(L29))</f>
        <v>12</v>
      </c>
      <c r="T29" s="0" t="str">
        <f aca="false">IF(S29&lt;12,"Morning",IF(S29&lt;17,"Afternoon","Evening"))</f>
        <v>Afternoon</v>
      </c>
      <c r="U29" s="16" t="n">
        <f aca="false">G29*H29*0.05</f>
        <v>4.468</v>
      </c>
    </row>
    <row r="30" customFormat="false" ht="15" hidden="false" customHeight="false" outlineLevel="0" collapsed="false">
      <c r="A30" s="0" t="s">
        <v>115</v>
      </c>
      <c r="B30" s="0" t="s">
        <v>29</v>
      </c>
      <c r="C30" s="0" t="s">
        <v>56</v>
      </c>
      <c r="D30" s="0" t="s">
        <v>21</v>
      </c>
      <c r="E30" s="0" t="s">
        <v>60</v>
      </c>
      <c r="F30" s="0" t="s">
        <v>31</v>
      </c>
      <c r="G30" s="16" t="n">
        <v>17.6</v>
      </c>
      <c r="H30" s="0" t="n">
        <v>8</v>
      </c>
      <c r="I30" s="16" t="n">
        <f aca="false">G30*H30*0.05</f>
        <v>7.04</v>
      </c>
      <c r="J30" s="16" t="n">
        <f aca="false">G30*H30*1.05</f>
        <v>147.84</v>
      </c>
      <c r="K30" s="17" t="n">
        <v>43468</v>
      </c>
      <c r="L30" s="14" t="s">
        <v>116</v>
      </c>
      <c r="M30" s="14" t="s">
        <v>26</v>
      </c>
      <c r="N30" s="16" t="n">
        <f aca="false">G30*H30</f>
        <v>140.8</v>
      </c>
      <c r="O30" s="18" t="n">
        <v>4.761904762</v>
      </c>
      <c r="P30" s="16" t="n">
        <f aca="false">I30</f>
        <v>7.04</v>
      </c>
      <c r="Q30" s="19" t="n">
        <v>8.6</v>
      </c>
      <c r="R30" s="0" t="str">
        <f aca="false">TEXT(K30,"mmm yyyy")</f>
        <v>Jan 2019</v>
      </c>
      <c r="S30" s="14" t="n">
        <f aca="false">HOUR(TIMEVALUE(L30))</f>
        <v>13</v>
      </c>
      <c r="T30" s="0" t="str">
        <f aca="false">IF(S30&lt;12,"Morning",IF(S30&lt;17,"Afternoon","Evening"))</f>
        <v>Afternoon</v>
      </c>
      <c r="U30" s="16" t="n">
        <f aca="false">G30*H30*0.05</f>
        <v>7.04</v>
      </c>
    </row>
    <row r="31" customFormat="false" ht="15" hidden="false" customHeight="false" outlineLevel="0" collapsed="false">
      <c r="A31" s="0" t="s">
        <v>117</v>
      </c>
      <c r="B31" s="0" t="s">
        <v>29</v>
      </c>
      <c r="C31" s="0" t="s">
        <v>56</v>
      </c>
      <c r="D31" s="0" t="s">
        <v>21</v>
      </c>
      <c r="E31" s="0" t="s">
        <v>60</v>
      </c>
      <c r="F31" s="0" t="s">
        <v>27</v>
      </c>
      <c r="G31" s="16" t="n">
        <v>11.82</v>
      </c>
      <c r="H31" s="0" t="n">
        <v>6</v>
      </c>
      <c r="I31" s="16" t="n">
        <f aca="false">G31*H31*0.05</f>
        <v>3.546</v>
      </c>
      <c r="J31" s="16" t="n">
        <f aca="false">G31*H31*1.05</f>
        <v>74.466</v>
      </c>
      <c r="K31" s="17" t="n">
        <v>43468</v>
      </c>
      <c r="L31" s="14" t="s">
        <v>118</v>
      </c>
      <c r="M31" s="14" t="s">
        <v>30</v>
      </c>
      <c r="N31" s="16" t="n">
        <f aca="false">G31*H31</f>
        <v>70.92</v>
      </c>
      <c r="O31" s="18" t="n">
        <v>4.761904762</v>
      </c>
      <c r="P31" s="16" t="n">
        <f aca="false">I31</f>
        <v>3.546</v>
      </c>
      <c r="Q31" s="19" t="n">
        <v>9.8</v>
      </c>
      <c r="R31" s="0" t="str">
        <f aca="false">TEXT(K31,"mmm yyyy")</f>
        <v>Jan 2019</v>
      </c>
      <c r="S31" s="14" t="n">
        <f aca="false">HOUR(TIMEVALUE(L31))</f>
        <v>19</v>
      </c>
      <c r="T31" s="0" t="str">
        <f aca="false">IF(S31&lt;12,"Morning",IF(S31&lt;17,"Afternoon","Evening"))</f>
        <v>Evening</v>
      </c>
      <c r="U31" s="16" t="n">
        <f aca="false">G31*H31*0.05</f>
        <v>3.546</v>
      </c>
    </row>
    <row r="32" customFormat="false" ht="15" hidden="false" customHeight="false" outlineLevel="0" collapsed="false">
      <c r="A32" s="0" t="s">
        <v>119</v>
      </c>
      <c r="B32" s="0" t="s">
        <v>29</v>
      </c>
      <c r="C32" s="0" t="s">
        <v>56</v>
      </c>
      <c r="D32" s="0" t="s">
        <v>21</v>
      </c>
      <c r="E32" s="0" t="s">
        <v>57</v>
      </c>
      <c r="F32" s="0" t="s">
        <v>27</v>
      </c>
      <c r="G32" s="16" t="n">
        <v>83.97</v>
      </c>
      <c r="H32" s="0" t="n">
        <v>8</v>
      </c>
      <c r="I32" s="16" t="n">
        <f aca="false">G32*H32*0.05</f>
        <v>33.588</v>
      </c>
      <c r="J32" s="16" t="n">
        <f aca="false">G32*H32*1.05</f>
        <v>705.348</v>
      </c>
      <c r="K32" s="17" t="n">
        <v>43469</v>
      </c>
      <c r="L32" s="14" t="s">
        <v>120</v>
      </c>
      <c r="M32" s="14" t="s">
        <v>26</v>
      </c>
      <c r="N32" s="16" t="n">
        <f aca="false">G32*H32</f>
        <v>671.76</v>
      </c>
      <c r="O32" s="18" t="n">
        <v>4.761904762</v>
      </c>
      <c r="P32" s="16" t="n">
        <f aca="false">I32</f>
        <v>33.588</v>
      </c>
      <c r="Q32" s="19" t="n">
        <v>8</v>
      </c>
      <c r="R32" s="0" t="str">
        <f aca="false">TEXT(K32,"mmm yyyy")</f>
        <v>Jan 2019</v>
      </c>
      <c r="S32" s="14" t="n">
        <f aca="false">HOUR(TIMEVALUE(L32))</f>
        <v>20</v>
      </c>
      <c r="T32" s="0" t="str">
        <f aca="false">IF(S32&lt;12,"Morning",IF(S32&lt;17,"Afternoon","Evening"))</f>
        <v>Evening</v>
      </c>
      <c r="U32" s="16" t="n">
        <f aca="false">G32*H32*0.05</f>
        <v>33.588</v>
      </c>
    </row>
    <row r="33" customFormat="false" ht="15" hidden="false" customHeight="false" outlineLevel="0" collapsed="false">
      <c r="A33" s="0" t="s">
        <v>121</v>
      </c>
      <c r="B33" s="0" t="s">
        <v>29</v>
      </c>
      <c r="C33" s="0" t="s">
        <v>56</v>
      </c>
      <c r="D33" s="0" t="s">
        <v>22</v>
      </c>
      <c r="E33" s="0" t="s">
        <v>60</v>
      </c>
      <c r="F33" s="0" t="s">
        <v>36</v>
      </c>
      <c r="G33" s="16" t="n">
        <v>58.53</v>
      </c>
      <c r="H33" s="0" t="n">
        <v>2</v>
      </c>
      <c r="I33" s="16" t="n">
        <f aca="false">G33*H33*0.05</f>
        <v>5.853</v>
      </c>
      <c r="J33" s="16" t="n">
        <f aca="false">G33*H33*1.05</f>
        <v>122.913</v>
      </c>
      <c r="K33" s="17" t="n">
        <v>43469</v>
      </c>
      <c r="L33" s="14" t="s">
        <v>122</v>
      </c>
      <c r="M33" s="14" t="s">
        <v>30</v>
      </c>
      <c r="N33" s="16" t="n">
        <f aca="false">G33*H33</f>
        <v>117.06</v>
      </c>
      <c r="O33" s="18" t="n">
        <v>4.761904762</v>
      </c>
      <c r="P33" s="16" t="n">
        <f aca="false">I33</f>
        <v>5.853</v>
      </c>
      <c r="Q33" s="19" t="n">
        <v>9.8</v>
      </c>
      <c r="R33" s="0" t="str">
        <f aca="false">TEXT(K33,"mmm yyyy")</f>
        <v>Jan 2019</v>
      </c>
      <c r="S33" s="14" t="n">
        <f aca="false">HOUR(TIMEVALUE(L33))</f>
        <v>16</v>
      </c>
      <c r="T33" s="0" t="str">
        <f aca="false">IF(S33&lt;12,"Morning",IF(S33&lt;17,"Afternoon","Evening"))</f>
        <v>Afternoon</v>
      </c>
      <c r="U33" s="16" t="n">
        <f aca="false">G33*H33*0.05</f>
        <v>5.853</v>
      </c>
    </row>
    <row r="34" customFormat="false" ht="15" hidden="false" customHeight="false" outlineLevel="0" collapsed="false">
      <c r="A34" s="0" t="s">
        <v>123</v>
      </c>
      <c r="B34" s="0" t="s">
        <v>33</v>
      </c>
      <c r="C34" s="0" t="s">
        <v>65</v>
      </c>
      <c r="D34" s="0" t="s">
        <v>22</v>
      </c>
      <c r="E34" s="0" t="s">
        <v>57</v>
      </c>
      <c r="F34" s="0" t="s">
        <v>23</v>
      </c>
      <c r="G34" s="16" t="n">
        <v>64.39</v>
      </c>
      <c r="H34" s="0" t="n">
        <v>9</v>
      </c>
      <c r="I34" s="16" t="n">
        <f aca="false">G34*H34*0.05</f>
        <v>28.9755</v>
      </c>
      <c r="J34" s="16" t="n">
        <f aca="false">G34*H34*1.05</f>
        <v>608.4855</v>
      </c>
      <c r="K34" s="17" t="n">
        <v>43469</v>
      </c>
      <c r="L34" s="14" t="s">
        <v>100</v>
      </c>
      <c r="M34" s="14" t="s">
        <v>34</v>
      </c>
      <c r="N34" s="16" t="n">
        <f aca="false">G34*H34</f>
        <v>579.51</v>
      </c>
      <c r="O34" s="18" t="n">
        <v>4.761904762</v>
      </c>
      <c r="P34" s="16" t="n">
        <f aca="false">I34</f>
        <v>28.9755</v>
      </c>
      <c r="Q34" s="19" t="n">
        <v>7.4</v>
      </c>
      <c r="R34" s="0" t="str">
        <f aca="false">TEXT(K34,"mmm yyyy")</f>
        <v>Jan 2019</v>
      </c>
      <c r="S34" s="14" t="n">
        <f aca="false">HOUR(TIMEVALUE(L34))</f>
        <v>14</v>
      </c>
      <c r="T34" s="0" t="str">
        <f aca="false">IF(S34&lt;12,"Morning",IF(S34&lt;17,"Afternoon","Evening"))</f>
        <v>Afternoon</v>
      </c>
      <c r="U34" s="16" t="n">
        <f aca="false">G34*H34*0.05</f>
        <v>28.9755</v>
      </c>
    </row>
    <row r="35" customFormat="false" ht="15" hidden="false" customHeight="false" outlineLevel="0" collapsed="false">
      <c r="A35" s="0" t="s">
        <v>124</v>
      </c>
      <c r="B35" s="0" t="s">
        <v>33</v>
      </c>
      <c r="C35" s="0" t="s">
        <v>65</v>
      </c>
      <c r="D35" s="0" t="s">
        <v>21</v>
      </c>
      <c r="E35" s="0" t="s">
        <v>57</v>
      </c>
      <c r="F35" s="0" t="s">
        <v>37</v>
      </c>
      <c r="G35" s="16" t="n">
        <v>62.9</v>
      </c>
      <c r="H35" s="0" t="n">
        <v>3</v>
      </c>
      <c r="I35" s="16" t="n">
        <f aca="false">G35*H35*0.05</f>
        <v>9.435</v>
      </c>
      <c r="J35" s="16" t="n">
        <f aca="false">G35*H35*1.05</f>
        <v>198.135</v>
      </c>
      <c r="K35" s="17" t="n">
        <v>43469</v>
      </c>
      <c r="L35" s="14" t="s">
        <v>125</v>
      </c>
      <c r="M35" s="14" t="s">
        <v>34</v>
      </c>
      <c r="N35" s="16" t="n">
        <f aca="false">G35*H35</f>
        <v>188.7</v>
      </c>
      <c r="O35" s="18" t="n">
        <v>4.761904762</v>
      </c>
      <c r="P35" s="16" t="n">
        <f aca="false">I35</f>
        <v>9.435</v>
      </c>
      <c r="Q35" s="19" t="n">
        <v>7.8</v>
      </c>
      <c r="R35" s="0" t="str">
        <f aca="false">TEXT(K35,"mmm yyyy")</f>
        <v>Jan 2019</v>
      </c>
      <c r="S35" s="14" t="n">
        <f aca="false">HOUR(TIMEVALUE(L35))</f>
        <v>14</v>
      </c>
      <c r="T35" s="0" t="str">
        <f aca="false">IF(S35&lt;12,"Morning",IF(S35&lt;17,"Afternoon","Evening"))</f>
        <v>Afternoon</v>
      </c>
      <c r="U35" s="16" t="n">
        <f aca="false">G35*H35*0.05</f>
        <v>9.435</v>
      </c>
    </row>
    <row r="36" customFormat="false" ht="15" hidden="false" customHeight="false" outlineLevel="0" collapsed="false">
      <c r="A36" s="0" t="s">
        <v>126</v>
      </c>
      <c r="B36" s="0" t="s">
        <v>29</v>
      </c>
      <c r="C36" s="0" t="s">
        <v>56</v>
      </c>
      <c r="D36" s="0" t="s">
        <v>21</v>
      </c>
      <c r="E36" s="0" t="s">
        <v>60</v>
      </c>
      <c r="F36" s="0" t="s">
        <v>36</v>
      </c>
      <c r="G36" s="16" t="n">
        <v>79.08</v>
      </c>
      <c r="H36" s="0" t="n">
        <v>10</v>
      </c>
      <c r="I36" s="16" t="n">
        <f aca="false">G36*H36*0.05</f>
        <v>39.54</v>
      </c>
      <c r="J36" s="16" t="n">
        <f aca="false">G36*H36*1.05</f>
        <v>830.34</v>
      </c>
      <c r="K36" s="17" t="n">
        <v>43469</v>
      </c>
      <c r="L36" s="14" t="s">
        <v>127</v>
      </c>
      <c r="M36" s="14" t="s">
        <v>34</v>
      </c>
      <c r="N36" s="16" t="n">
        <f aca="false">G36*H36</f>
        <v>790.8</v>
      </c>
      <c r="O36" s="18" t="n">
        <v>4.761904762</v>
      </c>
      <c r="P36" s="16" t="n">
        <f aca="false">I36</f>
        <v>39.54</v>
      </c>
      <c r="Q36" s="19" t="n">
        <v>7</v>
      </c>
      <c r="R36" s="0" t="str">
        <f aca="false">TEXT(K36,"mmm yyyy")</f>
        <v>Jan 2019</v>
      </c>
      <c r="S36" s="14" t="n">
        <f aca="false">HOUR(TIMEVALUE(L36))</f>
        <v>11</v>
      </c>
      <c r="T36" s="0" t="str">
        <f aca="false">IF(S36&lt;12,"Morning",IF(S36&lt;17,"Afternoon","Evening"))</f>
        <v>Morning</v>
      </c>
      <c r="U36" s="16" t="n">
        <f aca="false">G36*H36*0.05</f>
        <v>39.54</v>
      </c>
    </row>
    <row r="37" customFormat="false" ht="15" hidden="false" customHeight="false" outlineLevel="0" collapsed="false">
      <c r="A37" s="0" t="s">
        <v>128</v>
      </c>
      <c r="B37" s="0" t="s">
        <v>29</v>
      </c>
      <c r="C37" s="0" t="s">
        <v>56</v>
      </c>
      <c r="D37" s="0" t="s">
        <v>21</v>
      </c>
      <c r="E37" s="0" t="s">
        <v>57</v>
      </c>
      <c r="F37" s="0" t="s">
        <v>27</v>
      </c>
      <c r="G37" s="16" t="n">
        <v>64.07</v>
      </c>
      <c r="H37" s="0" t="n">
        <v>8</v>
      </c>
      <c r="I37" s="16" t="n">
        <f aca="false">G37*H37*0.05</f>
        <v>25.628</v>
      </c>
      <c r="J37" s="16" t="n">
        <f aca="false">G37*H37*1.05</f>
        <v>538.188</v>
      </c>
      <c r="K37" s="17" t="n">
        <v>43469</v>
      </c>
      <c r="L37" s="14" t="s">
        <v>129</v>
      </c>
      <c r="M37" s="14" t="s">
        <v>26</v>
      </c>
      <c r="N37" s="16" t="n">
        <f aca="false">G37*H37</f>
        <v>512.56</v>
      </c>
      <c r="O37" s="18" t="n">
        <v>4.761904762</v>
      </c>
      <c r="P37" s="16" t="n">
        <f aca="false">I37</f>
        <v>25.628</v>
      </c>
      <c r="Q37" s="19" t="n">
        <v>5.5</v>
      </c>
      <c r="R37" s="0" t="str">
        <f aca="false">TEXT(K37,"mmm yyyy")</f>
        <v>Jan 2019</v>
      </c>
      <c r="S37" s="14" t="n">
        <f aca="false">HOUR(TIMEVALUE(L37))</f>
        <v>10</v>
      </c>
      <c r="T37" s="0" t="str">
        <f aca="false">IF(S37&lt;12,"Morning",IF(S37&lt;17,"Afternoon","Evening"))</f>
        <v>Morning</v>
      </c>
      <c r="U37" s="16" t="n">
        <f aca="false">G37*H37*0.05</f>
        <v>25.628</v>
      </c>
    </row>
    <row r="38" customFormat="false" ht="15" hidden="false" customHeight="false" outlineLevel="0" collapsed="false">
      <c r="A38" s="0" t="s">
        <v>130</v>
      </c>
      <c r="B38" s="0" t="s">
        <v>25</v>
      </c>
      <c r="C38" s="0" t="s">
        <v>68</v>
      </c>
      <c r="D38" s="0" t="s">
        <v>22</v>
      </c>
      <c r="E38" s="0" t="s">
        <v>60</v>
      </c>
      <c r="F38" s="0" t="s">
        <v>35</v>
      </c>
      <c r="G38" s="16" t="n">
        <v>48.57</v>
      </c>
      <c r="H38" s="0" t="n">
        <v>5</v>
      </c>
      <c r="I38" s="16" t="n">
        <f aca="false">G38*H38*0.05</f>
        <v>12.1425</v>
      </c>
      <c r="J38" s="16" t="n">
        <f aca="false">G38*H38*1.05</f>
        <v>254.9925</v>
      </c>
      <c r="K38" s="17" t="n">
        <v>43469</v>
      </c>
      <c r="L38" s="14" t="s">
        <v>131</v>
      </c>
      <c r="M38" s="14" t="s">
        <v>34</v>
      </c>
      <c r="N38" s="16" t="n">
        <f aca="false">G38*H38</f>
        <v>242.85</v>
      </c>
      <c r="O38" s="18" t="n">
        <v>4.761904762</v>
      </c>
      <c r="P38" s="16" t="n">
        <f aca="false">I38</f>
        <v>12.1425</v>
      </c>
      <c r="Q38" s="19" t="n">
        <v>5.5</v>
      </c>
      <c r="R38" s="0" t="str">
        <f aca="false">TEXT(K38,"mmm yyyy")</f>
        <v>Jan 2019</v>
      </c>
      <c r="S38" s="14" t="n">
        <f aca="false">HOUR(TIMEVALUE(L38))</f>
        <v>20</v>
      </c>
      <c r="T38" s="0" t="str">
        <f aca="false">IF(S38&lt;12,"Morning",IF(S38&lt;17,"Afternoon","Evening"))</f>
        <v>Evening</v>
      </c>
      <c r="U38" s="16" t="n">
        <f aca="false">G38*H38*0.05</f>
        <v>12.1425</v>
      </c>
    </row>
    <row r="39" customFormat="false" ht="15" hidden="false" customHeight="false" outlineLevel="0" collapsed="false">
      <c r="A39" s="0" t="s">
        <v>132</v>
      </c>
      <c r="B39" s="0" t="s">
        <v>29</v>
      </c>
      <c r="C39" s="0" t="s">
        <v>56</v>
      </c>
      <c r="D39" s="0" t="s">
        <v>21</v>
      </c>
      <c r="E39" s="0" t="s">
        <v>57</v>
      </c>
      <c r="F39" s="0" t="s">
        <v>27</v>
      </c>
      <c r="G39" s="16" t="n">
        <v>31.49</v>
      </c>
      <c r="H39" s="0" t="n">
        <v>5</v>
      </c>
      <c r="I39" s="16" t="n">
        <f aca="false">G39*H39*0.05</f>
        <v>7.8725</v>
      </c>
      <c r="J39" s="16" t="n">
        <f aca="false">G39*H39*1.05</f>
        <v>165.3225</v>
      </c>
      <c r="K39" s="17" t="n">
        <v>43469</v>
      </c>
      <c r="L39" s="14" t="s">
        <v>133</v>
      </c>
      <c r="M39" s="14" t="s">
        <v>30</v>
      </c>
      <c r="N39" s="16" t="n">
        <f aca="false">G39*H39</f>
        <v>157.45</v>
      </c>
      <c r="O39" s="18" t="n">
        <v>4.761904762</v>
      </c>
      <c r="P39" s="16" t="n">
        <f aca="false">I39</f>
        <v>7.8725</v>
      </c>
      <c r="Q39" s="19" t="n">
        <v>8.3</v>
      </c>
      <c r="R39" s="0" t="str">
        <f aca="false">TEXT(K39,"mmm yyyy")</f>
        <v>Jan 2019</v>
      </c>
      <c r="S39" s="14" t="n">
        <f aca="false">HOUR(TIMEVALUE(L39))</f>
        <v>13</v>
      </c>
      <c r="T39" s="0" t="str">
        <f aca="false">IF(S39&lt;12,"Morning",IF(S39&lt;17,"Afternoon","Evening"))</f>
        <v>Afternoon</v>
      </c>
      <c r="U39" s="16" t="n">
        <f aca="false">G39*H39*0.05</f>
        <v>7.8725</v>
      </c>
    </row>
    <row r="40" customFormat="false" ht="15" hidden="false" customHeight="false" outlineLevel="0" collapsed="false">
      <c r="A40" s="0" t="s">
        <v>134</v>
      </c>
      <c r="B40" s="0" t="s">
        <v>29</v>
      </c>
      <c r="C40" s="0" t="s">
        <v>56</v>
      </c>
      <c r="D40" s="0" t="s">
        <v>22</v>
      </c>
      <c r="E40" s="0" t="s">
        <v>60</v>
      </c>
      <c r="F40" s="0" t="s">
        <v>37</v>
      </c>
      <c r="G40" s="16" t="n">
        <v>83.35</v>
      </c>
      <c r="H40" s="0" t="n">
        <v>4</v>
      </c>
      <c r="I40" s="16" t="n">
        <f aca="false">G40*H40*0.05</f>
        <v>16.67</v>
      </c>
      <c r="J40" s="16" t="n">
        <f aca="false">G40*H40*1.05</f>
        <v>350.07</v>
      </c>
      <c r="K40" s="17" t="n">
        <v>43469</v>
      </c>
      <c r="L40" s="14" t="s">
        <v>102</v>
      </c>
      <c r="M40" s="14" t="s">
        <v>30</v>
      </c>
      <c r="N40" s="16" t="n">
        <f aca="false">G40*H40</f>
        <v>333.4</v>
      </c>
      <c r="O40" s="18" t="n">
        <v>4.761904762</v>
      </c>
      <c r="P40" s="16" t="n">
        <f aca="false">I40</f>
        <v>16.67</v>
      </c>
      <c r="Q40" s="19" t="n">
        <v>8.6</v>
      </c>
      <c r="R40" s="0" t="str">
        <f aca="false">TEXT(K40,"mmm yyyy")</f>
        <v>Jan 2019</v>
      </c>
      <c r="S40" s="14" t="n">
        <f aca="false">HOUR(TIMEVALUE(L40))</f>
        <v>15</v>
      </c>
      <c r="T40" s="0" t="str">
        <f aca="false">IF(S40&lt;12,"Morning",IF(S40&lt;17,"Afternoon","Evening"))</f>
        <v>Afternoon</v>
      </c>
      <c r="U40" s="16" t="n">
        <f aca="false">G40*H40*0.05</f>
        <v>16.67</v>
      </c>
    </row>
    <row r="41" customFormat="false" ht="15" hidden="false" customHeight="false" outlineLevel="0" collapsed="false">
      <c r="A41" s="0" t="s">
        <v>135</v>
      </c>
      <c r="B41" s="0" t="s">
        <v>25</v>
      </c>
      <c r="C41" s="0" t="s">
        <v>68</v>
      </c>
      <c r="D41" s="0" t="s">
        <v>22</v>
      </c>
      <c r="E41" s="0" t="s">
        <v>60</v>
      </c>
      <c r="F41" s="0" t="s">
        <v>35</v>
      </c>
      <c r="G41" s="16" t="n">
        <v>78.54</v>
      </c>
      <c r="H41" s="0" t="n">
        <v>6</v>
      </c>
      <c r="I41" s="16" t="n">
        <f aca="false">G41*H41*0.05</f>
        <v>23.562</v>
      </c>
      <c r="J41" s="16" t="n">
        <f aca="false">G41*H41*1.05</f>
        <v>494.802</v>
      </c>
      <c r="K41" s="17" t="n">
        <v>43469</v>
      </c>
      <c r="L41" s="14" t="s">
        <v>136</v>
      </c>
      <c r="M41" s="14" t="s">
        <v>30</v>
      </c>
      <c r="N41" s="16" t="n">
        <f aca="false">G41*H41</f>
        <v>471.24</v>
      </c>
      <c r="O41" s="18" t="n">
        <v>4.761904762</v>
      </c>
      <c r="P41" s="16" t="n">
        <f aca="false">I41</f>
        <v>23.562</v>
      </c>
      <c r="Q41" s="19" t="n">
        <v>5.4</v>
      </c>
      <c r="R41" s="0" t="str">
        <f aca="false">TEXT(K41,"mmm yyyy")</f>
        <v>Jan 2019</v>
      </c>
      <c r="S41" s="14" t="n">
        <f aca="false">HOUR(TIMEVALUE(L41))</f>
        <v>13</v>
      </c>
      <c r="T41" s="0" t="str">
        <f aca="false">IF(S41&lt;12,"Morning",IF(S41&lt;17,"Afternoon","Evening"))</f>
        <v>Afternoon</v>
      </c>
      <c r="U41" s="16" t="n">
        <f aca="false">G41*H41*0.05</f>
        <v>23.562</v>
      </c>
    </row>
    <row r="42" customFormat="false" ht="15" hidden="false" customHeight="false" outlineLevel="0" collapsed="false">
      <c r="A42" s="0" t="s">
        <v>137</v>
      </c>
      <c r="B42" s="0" t="s">
        <v>33</v>
      </c>
      <c r="C42" s="0" t="s">
        <v>65</v>
      </c>
      <c r="D42" s="0" t="s">
        <v>21</v>
      </c>
      <c r="E42" s="0" t="s">
        <v>57</v>
      </c>
      <c r="F42" s="0" t="s">
        <v>37</v>
      </c>
      <c r="G42" s="16" t="n">
        <v>44.17</v>
      </c>
      <c r="H42" s="0" t="n">
        <v>7</v>
      </c>
      <c r="I42" s="16" t="n">
        <f aca="false">G42*H42*0.05</f>
        <v>15.4595</v>
      </c>
      <c r="J42" s="16" t="n">
        <f aca="false">G42*H42*1.05</f>
        <v>324.6495</v>
      </c>
      <c r="K42" s="17" t="n">
        <v>43469</v>
      </c>
      <c r="L42" s="14" t="s">
        <v>138</v>
      </c>
      <c r="M42" s="14" t="s">
        <v>30</v>
      </c>
      <c r="N42" s="16" t="n">
        <f aca="false">G42*H42</f>
        <v>309.19</v>
      </c>
      <c r="O42" s="18" t="n">
        <v>4.761904762</v>
      </c>
      <c r="P42" s="16" t="n">
        <f aca="false">I42</f>
        <v>15.4595</v>
      </c>
      <c r="Q42" s="19" t="n">
        <v>9.4</v>
      </c>
      <c r="R42" s="0" t="str">
        <f aca="false">TEXT(K42,"mmm yyyy")</f>
        <v>Jan 2019</v>
      </c>
      <c r="S42" s="14" t="n">
        <f aca="false">HOUR(TIMEVALUE(L42))</f>
        <v>11</v>
      </c>
      <c r="T42" s="0" t="str">
        <f aca="false">IF(S42&lt;12,"Morning",IF(S42&lt;17,"Afternoon","Evening"))</f>
        <v>Morning</v>
      </c>
      <c r="U42" s="16" t="n">
        <f aca="false">G42*H42*0.05</f>
        <v>15.4595</v>
      </c>
    </row>
    <row r="43" customFormat="false" ht="15" hidden="false" customHeight="false" outlineLevel="0" collapsed="false">
      <c r="A43" s="0" t="s">
        <v>139</v>
      </c>
      <c r="B43" s="0" t="s">
        <v>29</v>
      </c>
      <c r="C43" s="0" t="s">
        <v>56</v>
      </c>
      <c r="D43" s="0" t="s">
        <v>21</v>
      </c>
      <c r="E43" s="0" t="s">
        <v>60</v>
      </c>
      <c r="F43" s="0" t="s">
        <v>31</v>
      </c>
      <c r="G43" s="16" t="n">
        <v>60.11</v>
      </c>
      <c r="H43" s="0" t="n">
        <v>2</v>
      </c>
      <c r="I43" s="16" t="n">
        <f aca="false">G43*H43*0.05</f>
        <v>6.011</v>
      </c>
      <c r="J43" s="16" t="n">
        <f aca="false">G43*H43*1.05</f>
        <v>126.231</v>
      </c>
      <c r="K43" s="17" t="n">
        <v>43470</v>
      </c>
      <c r="L43" s="14" t="s">
        <v>140</v>
      </c>
      <c r="M43" s="14" t="s">
        <v>26</v>
      </c>
      <c r="N43" s="16" t="n">
        <f aca="false">G43*H43</f>
        <v>120.22</v>
      </c>
      <c r="O43" s="18" t="n">
        <v>4.761904762</v>
      </c>
      <c r="P43" s="16" t="n">
        <f aca="false">I43</f>
        <v>6.011</v>
      </c>
      <c r="Q43" s="19" t="n">
        <v>8.8</v>
      </c>
      <c r="R43" s="0" t="str">
        <f aca="false">TEXT(K43,"mmm yyyy")</f>
        <v>Jan 2019</v>
      </c>
      <c r="S43" s="14" t="n">
        <f aca="false">HOUR(TIMEVALUE(L43))</f>
        <v>17</v>
      </c>
      <c r="T43" s="0" t="str">
        <f aca="false">IF(S43&lt;12,"Morning",IF(S43&lt;17,"Afternoon","Evening"))</f>
        <v>Evening</v>
      </c>
      <c r="U43" s="16" t="n">
        <f aca="false">G43*H43*0.05</f>
        <v>6.011</v>
      </c>
    </row>
    <row r="44" customFormat="false" ht="15" hidden="false" customHeight="false" outlineLevel="0" collapsed="false">
      <c r="A44" s="0" t="s">
        <v>141</v>
      </c>
      <c r="B44" s="0" t="s">
        <v>25</v>
      </c>
      <c r="C44" s="0" t="s">
        <v>68</v>
      </c>
      <c r="D44" s="0" t="s">
        <v>21</v>
      </c>
      <c r="E44" s="0" t="s">
        <v>60</v>
      </c>
      <c r="F44" s="0" t="s">
        <v>31</v>
      </c>
      <c r="G44" s="16" t="n">
        <v>97.67</v>
      </c>
      <c r="H44" s="0" t="n">
        <v>4</v>
      </c>
      <c r="I44" s="16" t="n">
        <f aca="false">G44*H44*0.05</f>
        <v>19.534</v>
      </c>
      <c r="J44" s="16" t="n">
        <f aca="false">G44*H44*1.05</f>
        <v>410.214</v>
      </c>
      <c r="K44" s="17" t="n">
        <v>43470</v>
      </c>
      <c r="L44" s="14" t="s">
        <v>142</v>
      </c>
      <c r="M44" s="14" t="s">
        <v>34</v>
      </c>
      <c r="N44" s="16" t="n">
        <f aca="false">G44*H44</f>
        <v>390.68</v>
      </c>
      <c r="O44" s="18" t="n">
        <v>4.761904762</v>
      </c>
      <c r="P44" s="16" t="n">
        <f aca="false">I44</f>
        <v>19.534</v>
      </c>
      <c r="Q44" s="19" t="n">
        <v>4.4</v>
      </c>
      <c r="R44" s="0" t="str">
        <f aca="false">TEXT(K44,"mmm yyyy")</f>
        <v>Jan 2019</v>
      </c>
      <c r="S44" s="14" t="n">
        <f aca="false">HOUR(TIMEVALUE(L44))</f>
        <v>13</v>
      </c>
      <c r="T44" s="0" t="str">
        <f aca="false">IF(S44&lt;12,"Morning",IF(S44&lt;17,"Afternoon","Evening"))</f>
        <v>Afternoon</v>
      </c>
      <c r="U44" s="16" t="n">
        <f aca="false">G44*H44*0.05</f>
        <v>19.534</v>
      </c>
    </row>
    <row r="45" customFormat="false" ht="15" hidden="false" customHeight="false" outlineLevel="0" collapsed="false">
      <c r="A45" s="0" t="s">
        <v>143</v>
      </c>
      <c r="B45" s="0" t="s">
        <v>33</v>
      </c>
      <c r="C45" s="0" t="s">
        <v>65</v>
      </c>
      <c r="D45" s="0" t="s">
        <v>21</v>
      </c>
      <c r="E45" s="0" t="s">
        <v>57</v>
      </c>
      <c r="F45" s="0" t="s">
        <v>36</v>
      </c>
      <c r="G45" s="16" t="n">
        <v>67.94</v>
      </c>
      <c r="H45" s="0" t="n">
        <v>7</v>
      </c>
      <c r="I45" s="16" t="n">
        <f aca="false">G45*H45*0.05</f>
        <v>23.779</v>
      </c>
      <c r="J45" s="16" t="n">
        <f aca="false">G45*H45*1.05</f>
        <v>499.359</v>
      </c>
      <c r="K45" s="17" t="n">
        <v>43470</v>
      </c>
      <c r="L45" s="14" t="s">
        <v>144</v>
      </c>
      <c r="M45" s="14" t="s">
        <v>30</v>
      </c>
      <c r="N45" s="16" t="n">
        <f aca="false">G45*H45</f>
        <v>475.58</v>
      </c>
      <c r="O45" s="18" t="n">
        <v>4.761904762</v>
      </c>
      <c r="P45" s="16" t="n">
        <f aca="false">I45</f>
        <v>23.779</v>
      </c>
      <c r="Q45" s="19" t="n">
        <v>9.1</v>
      </c>
      <c r="R45" s="0" t="str">
        <f aca="false">TEXT(K45,"mmm yyyy")</f>
        <v>Jan 2019</v>
      </c>
      <c r="S45" s="14" t="n">
        <f aca="false">HOUR(TIMEVALUE(L45))</f>
        <v>15</v>
      </c>
      <c r="T45" s="0" t="str">
        <f aca="false">IF(S45&lt;12,"Morning",IF(S45&lt;17,"Afternoon","Evening"))</f>
        <v>Afternoon</v>
      </c>
      <c r="U45" s="16" t="n">
        <f aca="false">G45*H45*0.05</f>
        <v>23.779</v>
      </c>
    </row>
    <row r="46" customFormat="false" ht="15" hidden="false" customHeight="false" outlineLevel="0" collapsed="false">
      <c r="A46" s="0" t="s">
        <v>145</v>
      </c>
      <c r="B46" s="0" t="s">
        <v>25</v>
      </c>
      <c r="C46" s="0" t="s">
        <v>68</v>
      </c>
      <c r="D46" s="0" t="s">
        <v>21</v>
      </c>
      <c r="E46" s="0" t="s">
        <v>60</v>
      </c>
      <c r="F46" s="0" t="s">
        <v>37</v>
      </c>
      <c r="G46" s="16" t="n">
        <v>81.96</v>
      </c>
      <c r="H46" s="0" t="n">
        <v>1</v>
      </c>
      <c r="I46" s="16" t="n">
        <f aca="false">G46*H46*0.05</f>
        <v>4.098</v>
      </c>
      <c r="J46" s="16" t="n">
        <f aca="false">G46*H46*1.05</f>
        <v>86.058</v>
      </c>
      <c r="K46" s="17" t="n">
        <v>43470</v>
      </c>
      <c r="L46" s="14" t="s">
        <v>146</v>
      </c>
      <c r="M46" s="14" t="s">
        <v>26</v>
      </c>
      <c r="N46" s="16" t="n">
        <f aca="false">G46*H46</f>
        <v>81.96</v>
      </c>
      <c r="O46" s="18" t="n">
        <v>4.761904762</v>
      </c>
      <c r="P46" s="16" t="n">
        <f aca="false">I46</f>
        <v>4.098</v>
      </c>
      <c r="Q46" s="19" t="n">
        <v>5.3</v>
      </c>
      <c r="R46" s="0" t="str">
        <f aca="false">TEXT(K46,"mmm yyyy")</f>
        <v>Jan 2019</v>
      </c>
      <c r="S46" s="14" t="n">
        <f aca="false">HOUR(TIMEVALUE(L46))</f>
        <v>17</v>
      </c>
      <c r="T46" s="0" t="str">
        <f aca="false">IF(S46&lt;12,"Morning",IF(S46&lt;17,"Afternoon","Evening"))</f>
        <v>Evening</v>
      </c>
      <c r="U46" s="16" t="n">
        <f aca="false">G46*H46*0.05</f>
        <v>4.098</v>
      </c>
    </row>
    <row r="47" customFormat="false" ht="15" hidden="false" customHeight="false" outlineLevel="0" collapsed="false">
      <c r="A47" s="0" t="s">
        <v>147</v>
      </c>
      <c r="B47" s="0" t="s">
        <v>25</v>
      </c>
      <c r="C47" s="0" t="s">
        <v>68</v>
      </c>
      <c r="D47" s="0" t="s">
        <v>21</v>
      </c>
      <c r="E47" s="0" t="s">
        <v>57</v>
      </c>
      <c r="F47" s="0" t="s">
        <v>35</v>
      </c>
      <c r="G47" s="16" t="n">
        <v>19.38</v>
      </c>
      <c r="H47" s="0" t="n">
        <v>2</v>
      </c>
      <c r="I47" s="16" t="n">
        <f aca="false">G47*H47*0.05</f>
        <v>1.938</v>
      </c>
      <c r="J47" s="16" t="n">
        <f aca="false">G47*H47*1.05</f>
        <v>40.698</v>
      </c>
      <c r="K47" s="17" t="n">
        <v>43470</v>
      </c>
      <c r="L47" s="14" t="s">
        <v>148</v>
      </c>
      <c r="M47" s="14" t="s">
        <v>26</v>
      </c>
      <c r="N47" s="16" t="n">
        <f aca="false">G47*H47</f>
        <v>38.76</v>
      </c>
      <c r="O47" s="18" t="n">
        <v>4.761904762</v>
      </c>
      <c r="P47" s="16" t="n">
        <f aca="false">I47</f>
        <v>1.938</v>
      </c>
      <c r="Q47" s="19" t="n">
        <v>4.8</v>
      </c>
      <c r="R47" s="0" t="str">
        <f aca="false">TEXT(K47,"mmm yyyy")</f>
        <v>Jan 2019</v>
      </c>
      <c r="S47" s="14" t="n">
        <f aca="false">HOUR(TIMEVALUE(L47))</f>
        <v>18</v>
      </c>
      <c r="T47" s="0" t="str">
        <f aca="false">IF(S47&lt;12,"Morning",IF(S47&lt;17,"Afternoon","Evening"))</f>
        <v>Evening</v>
      </c>
      <c r="U47" s="16" t="n">
        <f aca="false">G47*H47*0.05</f>
        <v>1.938</v>
      </c>
    </row>
    <row r="48" customFormat="false" ht="15" hidden="false" customHeight="false" outlineLevel="0" collapsed="false">
      <c r="A48" s="0" t="s">
        <v>149</v>
      </c>
      <c r="B48" s="0" t="s">
        <v>25</v>
      </c>
      <c r="C48" s="0" t="s">
        <v>68</v>
      </c>
      <c r="D48" s="0" t="s">
        <v>21</v>
      </c>
      <c r="E48" s="0" t="s">
        <v>60</v>
      </c>
      <c r="F48" s="0" t="s">
        <v>27</v>
      </c>
      <c r="G48" s="16" t="n">
        <v>83.76</v>
      </c>
      <c r="H48" s="0" t="n">
        <v>8</v>
      </c>
      <c r="I48" s="16" t="n">
        <f aca="false">G48*H48*0.05</f>
        <v>33.504</v>
      </c>
      <c r="J48" s="16" t="n">
        <f aca="false">G48*H48*1.05</f>
        <v>703.584</v>
      </c>
      <c r="K48" s="17" t="n">
        <v>43470</v>
      </c>
      <c r="L48" s="14" t="s">
        <v>150</v>
      </c>
      <c r="M48" s="14" t="s">
        <v>34</v>
      </c>
      <c r="N48" s="16" t="n">
        <f aca="false">G48*H48</f>
        <v>670.08</v>
      </c>
      <c r="O48" s="18" t="n">
        <v>4.761904762</v>
      </c>
      <c r="P48" s="16" t="n">
        <f aca="false">I48</f>
        <v>33.504</v>
      </c>
      <c r="Q48" s="19" t="n">
        <v>4.3</v>
      </c>
      <c r="R48" s="0" t="str">
        <f aca="false">TEXT(K48,"mmm yyyy")</f>
        <v>Jan 2019</v>
      </c>
      <c r="S48" s="14" t="n">
        <f aca="false">HOUR(TIMEVALUE(L48))</f>
        <v>10</v>
      </c>
      <c r="T48" s="0" t="str">
        <f aca="false">IF(S48&lt;12,"Morning",IF(S48&lt;17,"Afternoon","Evening"))</f>
        <v>Morning</v>
      </c>
      <c r="U48" s="16" t="n">
        <f aca="false">G48*H48*0.05</f>
        <v>33.504</v>
      </c>
    </row>
    <row r="49" customFormat="false" ht="15" hidden="false" customHeight="false" outlineLevel="0" collapsed="false">
      <c r="A49" s="0" t="s">
        <v>151</v>
      </c>
      <c r="B49" s="0" t="s">
        <v>29</v>
      </c>
      <c r="C49" s="0" t="s">
        <v>56</v>
      </c>
      <c r="D49" s="0" t="s">
        <v>21</v>
      </c>
      <c r="E49" s="0" t="s">
        <v>57</v>
      </c>
      <c r="F49" s="0" t="s">
        <v>27</v>
      </c>
      <c r="G49" s="16" t="n">
        <v>85.26</v>
      </c>
      <c r="H49" s="0" t="n">
        <v>9</v>
      </c>
      <c r="I49" s="16" t="n">
        <f aca="false">G49*H49*0.05</f>
        <v>38.367</v>
      </c>
      <c r="J49" s="16" t="n">
        <f aca="false">G49*H49*1.05</f>
        <v>805.707</v>
      </c>
      <c r="K49" s="17" t="n">
        <v>43470</v>
      </c>
      <c r="L49" s="14" t="s">
        <v>152</v>
      </c>
      <c r="M49" s="14" t="s">
        <v>30</v>
      </c>
      <c r="N49" s="16" t="n">
        <f aca="false">G49*H49</f>
        <v>767.34</v>
      </c>
      <c r="O49" s="18" t="n">
        <v>4.761904762</v>
      </c>
      <c r="P49" s="16" t="n">
        <f aca="false">I49</f>
        <v>38.367</v>
      </c>
      <c r="Q49" s="19" t="n">
        <v>4.2</v>
      </c>
      <c r="R49" s="0" t="str">
        <f aca="false">TEXT(K49,"mmm yyyy")</f>
        <v>Jan 2019</v>
      </c>
      <c r="S49" s="14" t="n">
        <f aca="false">HOUR(TIMEVALUE(L49))</f>
        <v>14</v>
      </c>
      <c r="T49" s="0" t="str">
        <f aca="false">IF(S49&lt;12,"Morning",IF(S49&lt;17,"Afternoon","Evening"))</f>
        <v>Afternoon</v>
      </c>
      <c r="U49" s="16" t="n">
        <f aca="false">G49*H49*0.05</f>
        <v>38.367</v>
      </c>
    </row>
    <row r="50" customFormat="false" ht="15" hidden="false" customHeight="false" outlineLevel="0" collapsed="false">
      <c r="A50" s="0" t="s">
        <v>153</v>
      </c>
      <c r="B50" s="0" t="s">
        <v>33</v>
      </c>
      <c r="C50" s="0" t="s">
        <v>65</v>
      </c>
      <c r="D50" s="0" t="s">
        <v>22</v>
      </c>
      <c r="E50" s="0" t="s">
        <v>60</v>
      </c>
      <c r="F50" s="0" t="s">
        <v>23</v>
      </c>
      <c r="G50" s="16" t="n">
        <v>70.84</v>
      </c>
      <c r="H50" s="0" t="n">
        <v>4</v>
      </c>
      <c r="I50" s="16" t="n">
        <f aca="false">G50*H50*0.05</f>
        <v>14.168</v>
      </c>
      <c r="J50" s="16" t="n">
        <f aca="false">G50*H50*1.05</f>
        <v>297.528</v>
      </c>
      <c r="K50" s="17" t="n">
        <v>43470</v>
      </c>
      <c r="L50" s="14" t="s">
        <v>154</v>
      </c>
      <c r="M50" s="14" t="s">
        <v>34</v>
      </c>
      <c r="N50" s="16" t="n">
        <f aca="false">G50*H50</f>
        <v>283.36</v>
      </c>
      <c r="O50" s="18" t="n">
        <v>4.761904762</v>
      </c>
      <c r="P50" s="16" t="n">
        <f aca="false">I50</f>
        <v>14.168</v>
      </c>
      <c r="Q50" s="19" t="n">
        <v>4.6</v>
      </c>
      <c r="R50" s="0" t="str">
        <f aca="false">TEXT(K50,"mmm yyyy")</f>
        <v>Jan 2019</v>
      </c>
      <c r="S50" s="14" t="n">
        <f aca="false">HOUR(TIMEVALUE(L50))</f>
        <v>14</v>
      </c>
      <c r="T50" s="0" t="str">
        <f aca="false">IF(S50&lt;12,"Morning",IF(S50&lt;17,"Afternoon","Evening"))</f>
        <v>Afternoon</v>
      </c>
      <c r="U50" s="16" t="n">
        <f aca="false">G50*H50*0.05</f>
        <v>14.168</v>
      </c>
    </row>
    <row r="51" customFormat="false" ht="15" hidden="false" customHeight="false" outlineLevel="0" collapsed="false">
      <c r="A51" s="0" t="s">
        <v>155</v>
      </c>
      <c r="B51" s="0" t="s">
        <v>33</v>
      </c>
      <c r="C51" s="0" t="s">
        <v>65</v>
      </c>
      <c r="D51" s="0" t="s">
        <v>22</v>
      </c>
      <c r="E51" s="0" t="s">
        <v>57</v>
      </c>
      <c r="F51" s="0" t="s">
        <v>37</v>
      </c>
      <c r="G51" s="16" t="n">
        <v>24.13</v>
      </c>
      <c r="H51" s="0" t="n">
        <v>6</v>
      </c>
      <c r="I51" s="16" t="n">
        <f aca="false">G51*H51*0.05</f>
        <v>7.239</v>
      </c>
      <c r="J51" s="16" t="n">
        <f aca="false">G51*H51*1.05</f>
        <v>152.019</v>
      </c>
      <c r="K51" s="17" t="n">
        <v>43471</v>
      </c>
      <c r="L51" s="14" t="s">
        <v>156</v>
      </c>
      <c r="M51" s="14" t="s">
        <v>34</v>
      </c>
      <c r="N51" s="16" t="n">
        <f aca="false">G51*H51</f>
        <v>144.78</v>
      </c>
      <c r="O51" s="18" t="n">
        <v>4.761904762</v>
      </c>
      <c r="P51" s="16" t="n">
        <f aca="false">I51</f>
        <v>7.239</v>
      </c>
      <c r="Q51" s="19" t="n">
        <v>6.8</v>
      </c>
      <c r="R51" s="0" t="str">
        <f aca="false">TEXT(K51,"mmm yyyy")</f>
        <v>Jan 2019</v>
      </c>
      <c r="S51" s="14" t="n">
        <f aca="false">HOUR(TIMEVALUE(L51))</f>
        <v>11</v>
      </c>
      <c r="T51" s="0" t="str">
        <f aca="false">IF(S51&lt;12,"Morning",IF(S51&lt;17,"Afternoon","Evening"))</f>
        <v>Morning</v>
      </c>
      <c r="U51" s="16" t="n">
        <f aca="false">G51*H51*0.05</f>
        <v>7.239</v>
      </c>
    </row>
    <row r="52" customFormat="false" ht="15" hidden="false" customHeight="false" outlineLevel="0" collapsed="false">
      <c r="A52" s="0" t="s">
        <v>157</v>
      </c>
      <c r="B52" s="0" t="s">
        <v>25</v>
      </c>
      <c r="C52" s="0" t="s">
        <v>68</v>
      </c>
      <c r="D52" s="0" t="s">
        <v>22</v>
      </c>
      <c r="E52" s="0" t="s">
        <v>60</v>
      </c>
      <c r="F52" s="0" t="s">
        <v>37</v>
      </c>
      <c r="G52" s="16" t="n">
        <v>38.94</v>
      </c>
      <c r="H52" s="0" t="n">
        <v>9</v>
      </c>
      <c r="I52" s="16" t="n">
        <f aca="false">G52*H52*0.05</f>
        <v>17.523</v>
      </c>
      <c r="J52" s="16" t="n">
        <f aca="false">G52*H52*1.05</f>
        <v>367.983</v>
      </c>
      <c r="K52" s="17" t="n">
        <v>43471</v>
      </c>
      <c r="L52" s="14" t="s">
        <v>158</v>
      </c>
      <c r="M52" s="14" t="s">
        <v>26</v>
      </c>
      <c r="N52" s="16" t="n">
        <f aca="false">G52*H52</f>
        <v>350.46</v>
      </c>
      <c r="O52" s="18" t="n">
        <v>4.761904762</v>
      </c>
      <c r="P52" s="16" t="n">
        <f aca="false">I52</f>
        <v>17.523</v>
      </c>
      <c r="Q52" s="19" t="n">
        <v>7</v>
      </c>
      <c r="R52" s="0" t="str">
        <f aca="false">TEXT(K52,"mmm yyyy")</f>
        <v>Jan 2019</v>
      </c>
      <c r="S52" s="14" t="n">
        <f aca="false">HOUR(TIMEVALUE(L52))</f>
        <v>15</v>
      </c>
      <c r="T52" s="0" t="str">
        <f aca="false">IF(S52&lt;12,"Morning",IF(S52&lt;17,"Afternoon","Evening"))</f>
        <v>Afternoon</v>
      </c>
      <c r="U52" s="16" t="n">
        <f aca="false">G52*H52*0.05</f>
        <v>17.523</v>
      </c>
    </row>
    <row r="53" customFormat="false" ht="15" hidden="false" customHeight="false" outlineLevel="0" collapsed="false">
      <c r="A53" s="0" t="s">
        <v>159</v>
      </c>
      <c r="B53" s="0" t="s">
        <v>33</v>
      </c>
      <c r="C53" s="0" t="s">
        <v>65</v>
      </c>
      <c r="D53" s="0" t="s">
        <v>21</v>
      </c>
      <c r="E53" s="0" t="s">
        <v>60</v>
      </c>
      <c r="F53" s="0" t="s">
        <v>35</v>
      </c>
      <c r="G53" s="16" t="n">
        <v>63.49</v>
      </c>
      <c r="H53" s="0" t="n">
        <v>9</v>
      </c>
      <c r="I53" s="16" t="n">
        <f aca="false">G53*H53*0.05</f>
        <v>28.5705</v>
      </c>
      <c r="J53" s="16" t="n">
        <f aca="false">G53*H53*1.05</f>
        <v>599.9805</v>
      </c>
      <c r="K53" s="17" t="n">
        <v>43471</v>
      </c>
      <c r="L53" s="14" t="s">
        <v>160</v>
      </c>
      <c r="M53" s="14" t="s">
        <v>26</v>
      </c>
      <c r="N53" s="16" t="n">
        <f aca="false">G53*H53</f>
        <v>571.41</v>
      </c>
      <c r="O53" s="18" t="n">
        <v>4.761904762</v>
      </c>
      <c r="P53" s="16" t="n">
        <f aca="false">I53</f>
        <v>28.5705</v>
      </c>
      <c r="Q53" s="19" t="n">
        <v>6.5</v>
      </c>
      <c r="R53" s="0" t="str">
        <f aca="false">TEXT(K53,"mmm yyyy")</f>
        <v>Jan 2019</v>
      </c>
      <c r="S53" s="14" t="n">
        <f aca="false">HOUR(TIMEVALUE(L53))</f>
        <v>10</v>
      </c>
      <c r="T53" s="0" t="str">
        <f aca="false">IF(S53&lt;12,"Morning",IF(S53&lt;17,"Afternoon","Evening"))</f>
        <v>Morning</v>
      </c>
      <c r="U53" s="16" t="n">
        <f aca="false">G53*H53*0.05</f>
        <v>28.5705</v>
      </c>
    </row>
    <row r="54" customFormat="false" ht="15" hidden="false" customHeight="false" outlineLevel="0" collapsed="false">
      <c r="A54" s="0" t="s">
        <v>161</v>
      </c>
      <c r="B54" s="0" t="s">
        <v>25</v>
      </c>
      <c r="C54" s="0" t="s">
        <v>68</v>
      </c>
      <c r="D54" s="0" t="s">
        <v>21</v>
      </c>
      <c r="E54" s="0" t="s">
        <v>57</v>
      </c>
      <c r="F54" s="0" t="s">
        <v>27</v>
      </c>
      <c r="G54" s="16" t="n">
        <v>23.88</v>
      </c>
      <c r="H54" s="0" t="n">
        <v>2</v>
      </c>
      <c r="I54" s="16" t="n">
        <f aca="false">G54*H54*0.05</f>
        <v>2.388</v>
      </c>
      <c r="J54" s="16" t="n">
        <f aca="false">G54*H54*1.05</f>
        <v>50.148</v>
      </c>
      <c r="K54" s="17" t="n">
        <v>43471</v>
      </c>
      <c r="L54" s="14" t="s">
        <v>162</v>
      </c>
      <c r="M54" s="14" t="s">
        <v>30</v>
      </c>
      <c r="N54" s="16" t="n">
        <f aca="false">G54*H54</f>
        <v>47.76</v>
      </c>
      <c r="O54" s="18" t="n">
        <v>4.761904762</v>
      </c>
      <c r="P54" s="16" t="n">
        <f aca="false">I54</f>
        <v>2.388</v>
      </c>
      <c r="Q54" s="19" t="n">
        <v>6</v>
      </c>
      <c r="R54" s="0" t="str">
        <f aca="false">TEXT(K54,"mmm yyyy")</f>
        <v>Jan 2019</v>
      </c>
      <c r="S54" s="14" t="n">
        <f aca="false">HOUR(TIMEVALUE(L54))</f>
        <v>13</v>
      </c>
      <c r="T54" s="0" t="str">
        <f aca="false">IF(S54&lt;12,"Morning",IF(S54&lt;17,"Afternoon","Evening"))</f>
        <v>Afternoon</v>
      </c>
      <c r="U54" s="16" t="n">
        <f aca="false">G54*H54*0.05</f>
        <v>2.388</v>
      </c>
    </row>
    <row r="55" customFormat="false" ht="15" hidden="false" customHeight="false" outlineLevel="0" collapsed="false">
      <c r="A55" s="0" t="s">
        <v>163</v>
      </c>
      <c r="B55" s="0" t="s">
        <v>29</v>
      </c>
      <c r="C55" s="0" t="s">
        <v>56</v>
      </c>
      <c r="D55" s="0" t="s">
        <v>22</v>
      </c>
      <c r="E55" s="0" t="s">
        <v>57</v>
      </c>
      <c r="F55" s="0" t="s">
        <v>23</v>
      </c>
      <c r="G55" s="16" t="n">
        <v>94.97</v>
      </c>
      <c r="H55" s="0" t="n">
        <v>2</v>
      </c>
      <c r="I55" s="16" t="n">
        <f aca="false">G55*H55*0.05</f>
        <v>9.497</v>
      </c>
      <c r="J55" s="16" t="n">
        <f aca="false">G55*H55*1.05</f>
        <v>199.437</v>
      </c>
      <c r="K55" s="17" t="n">
        <v>43471</v>
      </c>
      <c r="L55" s="14" t="s">
        <v>164</v>
      </c>
      <c r="M55" s="14" t="s">
        <v>34</v>
      </c>
      <c r="N55" s="16" t="n">
        <f aca="false">G55*H55</f>
        <v>189.94</v>
      </c>
      <c r="O55" s="18" t="n">
        <v>4.761904762</v>
      </c>
      <c r="P55" s="16" t="n">
        <f aca="false">I55</f>
        <v>9.497</v>
      </c>
      <c r="Q55" s="19" t="n">
        <v>7</v>
      </c>
      <c r="R55" s="0" t="str">
        <f aca="false">TEXT(K55,"mmm yyyy")</f>
        <v>Jan 2019</v>
      </c>
      <c r="S55" s="14" t="n">
        <f aca="false">HOUR(TIMEVALUE(L55))</f>
        <v>14</v>
      </c>
      <c r="T55" s="0" t="str">
        <f aca="false">IF(S55&lt;12,"Morning",IF(S55&lt;17,"Afternoon","Evening"))</f>
        <v>Afternoon</v>
      </c>
      <c r="U55" s="16" t="n">
        <f aca="false">G55*H55*0.05</f>
        <v>9.497</v>
      </c>
    </row>
    <row r="56" customFormat="false" ht="15" hidden="false" customHeight="false" outlineLevel="0" collapsed="false">
      <c r="A56" s="0" t="s">
        <v>165</v>
      </c>
      <c r="B56" s="0" t="s">
        <v>33</v>
      </c>
      <c r="C56" s="0" t="s">
        <v>65</v>
      </c>
      <c r="D56" s="0" t="s">
        <v>22</v>
      </c>
      <c r="E56" s="0" t="s">
        <v>57</v>
      </c>
      <c r="F56" s="0" t="s">
        <v>31</v>
      </c>
      <c r="G56" s="16" t="n">
        <v>18.24</v>
      </c>
      <c r="H56" s="0" t="n">
        <v>10</v>
      </c>
      <c r="I56" s="16" t="n">
        <f aca="false">G56*H56*0.05</f>
        <v>9.12</v>
      </c>
      <c r="J56" s="16" t="n">
        <f aca="false">G56*H56*1.05</f>
        <v>191.52</v>
      </c>
      <c r="K56" s="17" t="n">
        <v>43471</v>
      </c>
      <c r="L56" s="14" t="s">
        <v>166</v>
      </c>
      <c r="M56" s="14" t="s">
        <v>34</v>
      </c>
      <c r="N56" s="16" t="n">
        <f aca="false">G56*H56</f>
        <v>182.4</v>
      </c>
      <c r="O56" s="18" t="n">
        <v>4.761904762</v>
      </c>
      <c r="P56" s="16" t="n">
        <f aca="false">I56</f>
        <v>9.12</v>
      </c>
      <c r="Q56" s="19" t="n">
        <v>7.9</v>
      </c>
      <c r="R56" s="0" t="str">
        <f aca="false">TEXT(K56,"mmm yyyy")</f>
        <v>Jan 2019</v>
      </c>
      <c r="S56" s="14" t="n">
        <f aca="false">HOUR(TIMEVALUE(L56))</f>
        <v>15</v>
      </c>
      <c r="T56" s="0" t="str">
        <f aca="false">IF(S56&lt;12,"Morning",IF(S56&lt;17,"Afternoon","Evening"))</f>
        <v>Afternoon</v>
      </c>
      <c r="U56" s="16" t="n">
        <f aca="false">G56*H56*0.05</f>
        <v>9.12</v>
      </c>
    </row>
    <row r="57" customFormat="false" ht="15" hidden="false" customHeight="false" outlineLevel="0" collapsed="false">
      <c r="A57" s="0" t="s">
        <v>167</v>
      </c>
      <c r="B57" s="0" t="s">
        <v>25</v>
      </c>
      <c r="C57" s="0" t="s">
        <v>68</v>
      </c>
      <c r="D57" s="0" t="s">
        <v>22</v>
      </c>
      <c r="E57" s="0" t="s">
        <v>57</v>
      </c>
      <c r="F57" s="0" t="s">
        <v>36</v>
      </c>
      <c r="G57" s="16" t="n">
        <v>10.09</v>
      </c>
      <c r="H57" s="0" t="n">
        <v>10</v>
      </c>
      <c r="I57" s="16" t="n">
        <f aca="false">G57*H57*0.05</f>
        <v>5.045</v>
      </c>
      <c r="J57" s="16" t="n">
        <f aca="false">G57*H57*1.05</f>
        <v>105.945</v>
      </c>
      <c r="K57" s="17" t="n">
        <v>43471</v>
      </c>
      <c r="L57" s="14" t="s">
        <v>168</v>
      </c>
      <c r="M57" s="14" t="s">
        <v>30</v>
      </c>
      <c r="N57" s="16" t="n">
        <f aca="false">G57*H57</f>
        <v>100.9</v>
      </c>
      <c r="O57" s="18" t="n">
        <v>4.761904762</v>
      </c>
      <c r="P57" s="16" t="n">
        <f aca="false">I57</f>
        <v>5.045</v>
      </c>
      <c r="Q57" s="19" t="n">
        <v>4.7</v>
      </c>
      <c r="R57" s="0" t="str">
        <f aca="false">TEXT(K57,"mmm yyyy")</f>
        <v>Jan 2019</v>
      </c>
      <c r="S57" s="14" t="n">
        <f aca="false">HOUR(TIMEVALUE(L57))</f>
        <v>15</v>
      </c>
      <c r="T57" s="0" t="str">
        <f aca="false">IF(S57&lt;12,"Morning",IF(S57&lt;17,"Afternoon","Evening"))</f>
        <v>Afternoon</v>
      </c>
      <c r="U57" s="16" t="n">
        <f aca="false">G57*H57*0.05</f>
        <v>5.045</v>
      </c>
    </row>
    <row r="58" customFormat="false" ht="15" hidden="false" customHeight="false" outlineLevel="0" collapsed="false">
      <c r="A58" s="0" t="s">
        <v>169</v>
      </c>
      <c r="B58" s="0" t="s">
        <v>25</v>
      </c>
      <c r="C58" s="0" t="s">
        <v>68</v>
      </c>
      <c r="D58" s="0" t="s">
        <v>22</v>
      </c>
      <c r="E58" s="0" t="s">
        <v>60</v>
      </c>
      <c r="F58" s="0" t="s">
        <v>35</v>
      </c>
      <c r="G58" s="16" t="n">
        <v>62.11</v>
      </c>
      <c r="H58" s="0" t="n">
        <v>8</v>
      </c>
      <c r="I58" s="16" t="n">
        <f aca="false">G58*H58*0.05</f>
        <v>24.844</v>
      </c>
      <c r="J58" s="16" t="n">
        <f aca="false">G58*H58*1.05</f>
        <v>521.724</v>
      </c>
      <c r="K58" s="17" t="n">
        <v>43471</v>
      </c>
      <c r="L58" s="14" t="s">
        <v>170</v>
      </c>
      <c r="M58" s="14" t="s">
        <v>30</v>
      </c>
      <c r="N58" s="16" t="n">
        <f aca="false">G58*H58</f>
        <v>496.88</v>
      </c>
      <c r="O58" s="18" t="n">
        <v>4.761904762</v>
      </c>
      <c r="P58" s="16" t="n">
        <f aca="false">I58</f>
        <v>24.844</v>
      </c>
      <c r="Q58" s="19" t="n">
        <v>8.3</v>
      </c>
      <c r="R58" s="0" t="str">
        <f aca="false">TEXT(K58,"mmm yyyy")</f>
        <v>Jan 2019</v>
      </c>
      <c r="S58" s="14" t="n">
        <f aca="false">HOUR(TIMEVALUE(L58))</f>
        <v>13</v>
      </c>
      <c r="T58" s="0" t="str">
        <f aca="false">IF(S58&lt;12,"Morning",IF(S58&lt;17,"Afternoon","Evening"))</f>
        <v>Afternoon</v>
      </c>
      <c r="U58" s="16" t="n">
        <f aca="false">G58*H58*0.05</f>
        <v>24.844</v>
      </c>
    </row>
    <row r="59" customFormat="false" ht="15" hidden="false" customHeight="false" outlineLevel="0" collapsed="false">
      <c r="A59" s="0" t="s">
        <v>171</v>
      </c>
      <c r="B59" s="0" t="s">
        <v>33</v>
      </c>
      <c r="C59" s="0" t="s">
        <v>65</v>
      </c>
      <c r="D59" s="0" t="s">
        <v>21</v>
      </c>
      <c r="E59" s="0" t="s">
        <v>60</v>
      </c>
      <c r="F59" s="0" t="s">
        <v>31</v>
      </c>
      <c r="G59" s="16" t="n">
        <v>77.87</v>
      </c>
      <c r="H59" s="0" t="n">
        <v>1</v>
      </c>
      <c r="I59" s="16" t="n">
        <f aca="false">G59*H59*0.05</f>
        <v>3.8935</v>
      </c>
      <c r="J59" s="16" t="n">
        <f aca="false">G59*H59*1.05</f>
        <v>81.7635</v>
      </c>
      <c r="K59" s="17" t="n">
        <v>43471</v>
      </c>
      <c r="L59" s="14" t="s">
        <v>172</v>
      </c>
      <c r="M59" s="14" t="s">
        <v>26</v>
      </c>
      <c r="N59" s="16" t="n">
        <f aca="false">G59*H59</f>
        <v>77.87</v>
      </c>
      <c r="O59" s="18" t="n">
        <v>4.761904762</v>
      </c>
      <c r="P59" s="16" t="n">
        <f aca="false">I59</f>
        <v>3.8935</v>
      </c>
      <c r="Q59" s="19" t="n">
        <v>4.2</v>
      </c>
      <c r="R59" s="0" t="str">
        <f aca="false">TEXT(K59,"mmm yyyy")</f>
        <v>Jan 2019</v>
      </c>
      <c r="S59" s="14" t="n">
        <f aca="false">HOUR(TIMEVALUE(L59))</f>
        <v>14</v>
      </c>
      <c r="T59" s="0" t="str">
        <f aca="false">IF(S59&lt;12,"Morning",IF(S59&lt;17,"Afternoon","Evening"))</f>
        <v>Afternoon</v>
      </c>
      <c r="U59" s="16" t="n">
        <f aca="false">G59*H59*0.05</f>
        <v>3.8935</v>
      </c>
    </row>
    <row r="60" customFormat="false" ht="15" hidden="false" customHeight="false" outlineLevel="0" collapsed="false">
      <c r="A60" s="0" t="s">
        <v>173</v>
      </c>
      <c r="B60" s="0" t="s">
        <v>25</v>
      </c>
      <c r="C60" s="0" t="s">
        <v>68</v>
      </c>
      <c r="D60" s="0" t="s">
        <v>21</v>
      </c>
      <c r="E60" s="0" t="s">
        <v>57</v>
      </c>
      <c r="F60" s="0" t="s">
        <v>36</v>
      </c>
      <c r="G60" s="16" t="n">
        <v>93.54</v>
      </c>
      <c r="H60" s="0" t="n">
        <v>10</v>
      </c>
      <c r="I60" s="16" t="n">
        <f aca="false">G60*H60*0.05</f>
        <v>46.77</v>
      </c>
      <c r="J60" s="16" t="n">
        <f aca="false">G60*H60*1.05</f>
        <v>982.17</v>
      </c>
      <c r="K60" s="17" t="n">
        <v>43472</v>
      </c>
      <c r="L60" s="14" t="s">
        <v>174</v>
      </c>
      <c r="M60" s="14" t="s">
        <v>34</v>
      </c>
      <c r="N60" s="16" t="n">
        <f aca="false">G60*H60</f>
        <v>935.4</v>
      </c>
      <c r="O60" s="18" t="n">
        <v>4.761904762</v>
      </c>
      <c r="P60" s="16" t="n">
        <f aca="false">I60</f>
        <v>46.77</v>
      </c>
      <c r="Q60" s="19" t="n">
        <v>6.8</v>
      </c>
      <c r="R60" s="0" t="str">
        <f aca="false">TEXT(K60,"mmm yyyy")</f>
        <v>Jan 2019</v>
      </c>
      <c r="S60" s="14" t="n">
        <f aca="false">HOUR(TIMEVALUE(L60))</f>
        <v>17</v>
      </c>
      <c r="T60" s="0" t="str">
        <f aca="false">IF(S60&lt;12,"Morning",IF(S60&lt;17,"Afternoon","Evening"))</f>
        <v>Evening</v>
      </c>
      <c r="U60" s="16" t="n">
        <f aca="false">G60*H60*0.05</f>
        <v>46.77</v>
      </c>
    </row>
    <row r="61" customFormat="false" ht="15" hidden="false" customHeight="false" outlineLevel="0" collapsed="false">
      <c r="A61" s="0" t="s">
        <v>175</v>
      </c>
      <c r="B61" s="0" t="s">
        <v>25</v>
      </c>
      <c r="C61" s="0" t="s">
        <v>68</v>
      </c>
      <c r="D61" s="0" t="s">
        <v>21</v>
      </c>
      <c r="E61" s="0" t="s">
        <v>57</v>
      </c>
      <c r="F61" s="0" t="s">
        <v>31</v>
      </c>
      <c r="G61" s="16" t="n">
        <v>18.78</v>
      </c>
      <c r="H61" s="0" t="n">
        <v>5</v>
      </c>
      <c r="I61" s="16" t="n">
        <f aca="false">G61*H61*0.05</f>
        <v>4.695</v>
      </c>
      <c r="J61" s="16" t="n">
        <f aca="false">G61*H61*1.05</f>
        <v>98.595</v>
      </c>
      <c r="K61" s="17" t="n">
        <v>43472</v>
      </c>
      <c r="L61" s="14" t="s">
        <v>176</v>
      </c>
      <c r="M61" s="14" t="s">
        <v>26</v>
      </c>
      <c r="N61" s="16" t="n">
        <f aca="false">G61*H61</f>
        <v>93.9</v>
      </c>
      <c r="O61" s="18" t="n">
        <v>4.761904762</v>
      </c>
      <c r="P61" s="16" t="n">
        <f aca="false">I61</f>
        <v>4.695</v>
      </c>
      <c r="Q61" s="19" t="n">
        <v>5.4</v>
      </c>
      <c r="R61" s="0" t="str">
        <f aca="false">TEXT(K61,"mmm yyyy")</f>
        <v>Jan 2019</v>
      </c>
      <c r="S61" s="14" t="n">
        <f aca="false">HOUR(TIMEVALUE(L61))</f>
        <v>20</v>
      </c>
      <c r="T61" s="0" t="str">
        <f aca="false">IF(S61&lt;12,"Morning",IF(S61&lt;17,"Afternoon","Evening"))</f>
        <v>Evening</v>
      </c>
      <c r="U61" s="16" t="n">
        <f aca="false">G61*H61*0.05</f>
        <v>4.695</v>
      </c>
    </row>
    <row r="62" customFormat="false" ht="15" hidden="false" customHeight="false" outlineLevel="0" collapsed="false">
      <c r="A62" s="0" t="s">
        <v>177</v>
      </c>
      <c r="B62" s="0" t="s">
        <v>29</v>
      </c>
      <c r="C62" s="0" t="s">
        <v>56</v>
      </c>
      <c r="D62" s="0" t="s">
        <v>21</v>
      </c>
      <c r="E62" s="0" t="s">
        <v>57</v>
      </c>
      <c r="F62" s="0" t="s">
        <v>23</v>
      </c>
      <c r="G62" s="16" t="n">
        <v>64.94</v>
      </c>
      <c r="H62" s="0" t="n">
        <v>1</v>
      </c>
      <c r="I62" s="16" t="n">
        <f aca="false">G62*H62*0.05</f>
        <v>3.247</v>
      </c>
      <c r="J62" s="16" t="n">
        <f aca="false">G62*H62*1.05</f>
        <v>68.187</v>
      </c>
      <c r="K62" s="17" t="n">
        <v>43472</v>
      </c>
      <c r="L62" s="14" t="s">
        <v>178</v>
      </c>
      <c r="M62" s="14" t="s">
        <v>34</v>
      </c>
      <c r="N62" s="16" t="n">
        <f aca="false">G62*H62</f>
        <v>64.94</v>
      </c>
      <c r="O62" s="18" t="n">
        <v>4.761904762</v>
      </c>
      <c r="P62" s="16" t="n">
        <f aca="false">I62</f>
        <v>3.247</v>
      </c>
      <c r="Q62" s="19" t="n">
        <v>9.9</v>
      </c>
      <c r="R62" s="0" t="str">
        <f aca="false">TEXT(K62,"mmm yyyy")</f>
        <v>Jan 2019</v>
      </c>
      <c r="S62" s="14" t="n">
        <f aca="false">HOUR(TIMEVALUE(L62))</f>
        <v>16</v>
      </c>
      <c r="T62" s="0" t="str">
        <f aca="false">IF(S62&lt;12,"Morning",IF(S62&lt;17,"Afternoon","Evening"))</f>
        <v>Afternoon</v>
      </c>
      <c r="U62" s="16" t="n">
        <f aca="false">G62*H62*0.05</f>
        <v>3.247</v>
      </c>
    </row>
    <row r="63" customFormat="false" ht="15" hidden="false" customHeight="false" outlineLevel="0" collapsed="false">
      <c r="A63" s="0" t="s">
        <v>179</v>
      </c>
      <c r="B63" s="0" t="s">
        <v>25</v>
      </c>
      <c r="C63" s="0" t="s">
        <v>68</v>
      </c>
      <c r="D63" s="0" t="s">
        <v>21</v>
      </c>
      <c r="E63" s="0" t="s">
        <v>60</v>
      </c>
      <c r="F63" s="0" t="s">
        <v>36</v>
      </c>
      <c r="G63" s="16" t="n">
        <v>13.1</v>
      </c>
      <c r="H63" s="0" t="n">
        <v>9</v>
      </c>
      <c r="I63" s="16" t="n">
        <f aca="false">G63*H63*0.05</f>
        <v>5.895</v>
      </c>
      <c r="J63" s="16" t="n">
        <f aca="false">G63*H63*1.05</f>
        <v>123.795</v>
      </c>
      <c r="K63" s="17" t="n">
        <v>43472</v>
      </c>
      <c r="L63" s="14" t="s">
        <v>180</v>
      </c>
      <c r="M63" s="14" t="s">
        <v>34</v>
      </c>
      <c r="N63" s="16" t="n">
        <f aca="false">G63*H63</f>
        <v>117.9</v>
      </c>
      <c r="O63" s="18" t="n">
        <v>4.761904762</v>
      </c>
      <c r="P63" s="16" t="n">
        <f aca="false">I63</f>
        <v>5.895</v>
      </c>
      <c r="Q63" s="19" t="n">
        <v>9.3</v>
      </c>
      <c r="R63" s="0" t="str">
        <f aca="false">TEXT(K63,"mmm yyyy")</f>
        <v>Jan 2019</v>
      </c>
      <c r="S63" s="14" t="n">
        <f aca="false">HOUR(TIMEVALUE(L63))</f>
        <v>15</v>
      </c>
      <c r="T63" s="0" t="str">
        <f aca="false">IF(S63&lt;12,"Morning",IF(S63&lt;17,"Afternoon","Evening"))</f>
        <v>Afternoon</v>
      </c>
      <c r="U63" s="16" t="n">
        <f aca="false">G63*H63*0.05</f>
        <v>5.895</v>
      </c>
    </row>
    <row r="64" customFormat="false" ht="15" hidden="false" customHeight="false" outlineLevel="0" collapsed="false">
      <c r="A64" s="0" t="s">
        <v>181</v>
      </c>
      <c r="B64" s="0" t="s">
        <v>33</v>
      </c>
      <c r="C64" s="0" t="s">
        <v>65</v>
      </c>
      <c r="D64" s="0" t="s">
        <v>21</v>
      </c>
      <c r="E64" s="0" t="s">
        <v>57</v>
      </c>
      <c r="F64" s="0" t="s">
        <v>31</v>
      </c>
      <c r="G64" s="16" t="n">
        <v>30.32</v>
      </c>
      <c r="H64" s="0" t="n">
        <v>1</v>
      </c>
      <c r="I64" s="16" t="n">
        <f aca="false">G64*H64*0.05</f>
        <v>1.516</v>
      </c>
      <c r="J64" s="16" t="n">
        <f aca="false">G64*H64*1.05</f>
        <v>31.836</v>
      </c>
      <c r="K64" s="17" t="n">
        <v>43472</v>
      </c>
      <c r="L64" s="14" t="s">
        <v>182</v>
      </c>
      <c r="M64" s="14" t="s">
        <v>30</v>
      </c>
      <c r="N64" s="16" t="n">
        <f aca="false">G64*H64</f>
        <v>30.32</v>
      </c>
      <c r="O64" s="18" t="n">
        <v>4.761904762</v>
      </c>
      <c r="P64" s="16" t="n">
        <f aca="false">I64</f>
        <v>1.516</v>
      </c>
      <c r="Q64" s="19" t="n">
        <v>9.6</v>
      </c>
      <c r="R64" s="0" t="str">
        <f aca="false">TEXT(K64,"mmm yyyy")</f>
        <v>Jan 2019</v>
      </c>
      <c r="S64" s="14" t="n">
        <f aca="false">HOUR(TIMEVALUE(L64))</f>
        <v>10</v>
      </c>
      <c r="T64" s="0" t="str">
        <f aca="false">IF(S64&lt;12,"Morning",IF(S64&lt;17,"Afternoon","Evening"))</f>
        <v>Morning</v>
      </c>
      <c r="U64" s="16" t="n">
        <f aca="false">G64*H64*0.05</f>
        <v>1.516</v>
      </c>
    </row>
    <row r="65" customFormat="false" ht="15" hidden="false" customHeight="false" outlineLevel="0" collapsed="false">
      <c r="A65" s="0" t="s">
        <v>183</v>
      </c>
      <c r="B65" s="0" t="s">
        <v>33</v>
      </c>
      <c r="C65" s="0" t="s">
        <v>65</v>
      </c>
      <c r="D65" s="0" t="s">
        <v>22</v>
      </c>
      <c r="E65" s="0" t="s">
        <v>60</v>
      </c>
      <c r="F65" s="0" t="s">
        <v>35</v>
      </c>
      <c r="G65" s="16" t="n">
        <v>70.07</v>
      </c>
      <c r="H65" s="0" t="n">
        <v>9</v>
      </c>
      <c r="I65" s="16" t="n">
        <f aca="false">G65*H65*0.05</f>
        <v>31.5315</v>
      </c>
      <c r="J65" s="16" t="n">
        <f aca="false">G65*H65*1.05</f>
        <v>662.1615</v>
      </c>
      <c r="K65" s="17" t="n">
        <v>43472</v>
      </c>
      <c r="L65" s="14" t="s">
        <v>184</v>
      </c>
      <c r="M65" s="14" t="s">
        <v>34</v>
      </c>
      <c r="N65" s="16" t="n">
        <f aca="false">G65*H65</f>
        <v>630.63</v>
      </c>
      <c r="O65" s="18" t="n">
        <v>4.761904762</v>
      </c>
      <c r="P65" s="16" t="n">
        <f aca="false">I65</f>
        <v>31.5315</v>
      </c>
      <c r="Q65" s="19" t="n">
        <v>5.2</v>
      </c>
      <c r="R65" s="0" t="str">
        <f aca="false">TEXT(K65,"mmm yyyy")</f>
        <v>Jan 2019</v>
      </c>
      <c r="S65" s="14" t="n">
        <f aca="false">HOUR(TIMEVALUE(L65))</f>
        <v>19</v>
      </c>
      <c r="T65" s="0" t="str">
        <f aca="false">IF(S65&lt;12,"Morning",IF(S65&lt;17,"Afternoon","Evening"))</f>
        <v>Evening</v>
      </c>
      <c r="U65" s="16" t="n">
        <f aca="false">G65*H65*0.05</f>
        <v>31.5315</v>
      </c>
    </row>
    <row r="66" customFormat="false" ht="15" hidden="false" customHeight="false" outlineLevel="0" collapsed="false">
      <c r="A66" s="0" t="s">
        <v>185</v>
      </c>
      <c r="B66" s="0" t="s">
        <v>25</v>
      </c>
      <c r="C66" s="0" t="s">
        <v>68</v>
      </c>
      <c r="D66" s="0" t="s">
        <v>22</v>
      </c>
      <c r="E66" s="0" t="s">
        <v>60</v>
      </c>
      <c r="F66" s="0" t="s">
        <v>37</v>
      </c>
      <c r="G66" s="16" t="n">
        <v>45.88</v>
      </c>
      <c r="H66" s="0" t="n">
        <v>10</v>
      </c>
      <c r="I66" s="16" t="n">
        <f aca="false">G66*H66*0.05</f>
        <v>22.94</v>
      </c>
      <c r="J66" s="16" t="n">
        <f aca="false">G66*H66*1.05</f>
        <v>481.74</v>
      </c>
      <c r="K66" s="17" t="n">
        <v>43472</v>
      </c>
      <c r="L66" s="14" t="s">
        <v>186</v>
      </c>
      <c r="M66" s="14" t="s">
        <v>26</v>
      </c>
      <c r="N66" s="16" t="n">
        <f aca="false">G66*H66</f>
        <v>458.8</v>
      </c>
      <c r="O66" s="18" t="n">
        <v>4.761904762</v>
      </c>
      <c r="P66" s="16" t="n">
        <f aca="false">I66</f>
        <v>22.94</v>
      </c>
      <c r="Q66" s="19" t="n">
        <v>6.4</v>
      </c>
      <c r="R66" s="0" t="str">
        <f aca="false">TEXT(K66,"mmm yyyy")</f>
        <v>Jan 2019</v>
      </c>
      <c r="S66" s="14" t="n">
        <f aca="false">HOUR(TIMEVALUE(L66))</f>
        <v>17</v>
      </c>
      <c r="T66" s="0" t="str">
        <f aca="false">IF(S66&lt;12,"Morning",IF(S66&lt;17,"Afternoon","Evening"))</f>
        <v>Evening</v>
      </c>
      <c r="U66" s="16" t="n">
        <f aca="false">G66*H66*0.05</f>
        <v>22.94</v>
      </c>
    </row>
    <row r="67" customFormat="false" ht="15" hidden="false" customHeight="false" outlineLevel="0" collapsed="false">
      <c r="A67" s="0" t="s">
        <v>187</v>
      </c>
      <c r="B67" s="0" t="s">
        <v>33</v>
      </c>
      <c r="C67" s="0" t="s">
        <v>65</v>
      </c>
      <c r="D67" s="0" t="s">
        <v>21</v>
      </c>
      <c r="E67" s="0" t="s">
        <v>60</v>
      </c>
      <c r="F67" s="0" t="s">
        <v>35</v>
      </c>
      <c r="G67" s="16" t="n">
        <v>98.61</v>
      </c>
      <c r="H67" s="0" t="n">
        <v>7</v>
      </c>
      <c r="I67" s="16" t="n">
        <f aca="false">G67*H67*0.05</f>
        <v>34.5135</v>
      </c>
      <c r="J67" s="16" t="n">
        <f aca="false">G67*H67*1.05</f>
        <v>724.7835</v>
      </c>
      <c r="K67" s="17" t="n">
        <v>43472</v>
      </c>
      <c r="L67" s="14" t="s">
        <v>188</v>
      </c>
      <c r="M67" s="14" t="s">
        <v>26</v>
      </c>
      <c r="N67" s="16" t="n">
        <f aca="false">G67*H67</f>
        <v>690.27</v>
      </c>
      <c r="O67" s="18" t="n">
        <v>4.761904762</v>
      </c>
      <c r="P67" s="16" t="n">
        <f aca="false">I67</f>
        <v>34.5135</v>
      </c>
      <c r="Q67" s="19" t="n">
        <v>6.6</v>
      </c>
      <c r="R67" s="0" t="str">
        <f aca="false">TEXT(K67,"mmm yyyy")</f>
        <v>Jan 2019</v>
      </c>
      <c r="S67" s="14" t="n">
        <f aca="false">HOUR(TIMEVALUE(L67))</f>
        <v>16</v>
      </c>
      <c r="T67" s="0" t="str">
        <f aca="false">IF(S67&lt;12,"Morning",IF(S67&lt;17,"Afternoon","Evening"))</f>
        <v>Afternoon</v>
      </c>
      <c r="U67" s="16" t="n">
        <f aca="false">G67*H67*0.05</f>
        <v>34.5135</v>
      </c>
    </row>
    <row r="68" customFormat="false" ht="15" hidden="false" customHeight="false" outlineLevel="0" collapsed="false">
      <c r="A68" s="0" t="s">
        <v>189</v>
      </c>
      <c r="B68" s="0" t="s">
        <v>29</v>
      </c>
      <c r="C68" s="0" t="s">
        <v>56</v>
      </c>
      <c r="D68" s="0" t="s">
        <v>21</v>
      </c>
      <c r="E68" s="0" t="s">
        <v>57</v>
      </c>
      <c r="F68" s="0" t="s">
        <v>27</v>
      </c>
      <c r="G68" s="16" t="n">
        <v>52.49</v>
      </c>
      <c r="H68" s="0" t="n">
        <v>8</v>
      </c>
      <c r="I68" s="16" t="n">
        <f aca="false">G68*H68*0.05</f>
        <v>20.996</v>
      </c>
      <c r="J68" s="16" t="n">
        <f aca="false">G68*H68*1.05</f>
        <v>440.916</v>
      </c>
      <c r="K68" s="17" t="n">
        <v>43472</v>
      </c>
      <c r="L68" s="14" t="s">
        <v>190</v>
      </c>
      <c r="M68" s="14" t="s">
        <v>26</v>
      </c>
      <c r="N68" s="16" t="n">
        <f aca="false">G68*H68</f>
        <v>419.92</v>
      </c>
      <c r="O68" s="18" t="n">
        <v>4.761904762</v>
      </c>
      <c r="P68" s="16" t="n">
        <f aca="false">I68</f>
        <v>20.996</v>
      </c>
      <c r="Q68" s="19" t="n">
        <v>8.2</v>
      </c>
      <c r="R68" s="0" t="str">
        <f aca="false">TEXT(K68,"mmm yyyy")</f>
        <v>Jan 2019</v>
      </c>
      <c r="S68" s="14" t="n">
        <f aca="false">HOUR(TIMEVALUE(L68))</f>
        <v>12</v>
      </c>
      <c r="T68" s="0" t="str">
        <f aca="false">IF(S68&lt;12,"Morning",IF(S68&lt;17,"Afternoon","Evening"))</f>
        <v>Afternoon</v>
      </c>
      <c r="U68" s="16" t="n">
        <f aca="false">G68*H68*0.05</f>
        <v>20.996</v>
      </c>
    </row>
    <row r="69" customFormat="false" ht="15" hidden="false" customHeight="false" outlineLevel="0" collapsed="false">
      <c r="A69" s="0" t="s">
        <v>191</v>
      </c>
      <c r="B69" s="0" t="s">
        <v>33</v>
      </c>
      <c r="C69" s="0" t="s">
        <v>65</v>
      </c>
      <c r="D69" s="0" t="s">
        <v>21</v>
      </c>
      <c r="E69" s="0" t="s">
        <v>57</v>
      </c>
      <c r="F69" s="0" t="s">
        <v>27</v>
      </c>
      <c r="G69" s="16" t="n">
        <v>48.85</v>
      </c>
      <c r="H69" s="0" t="n">
        <v>3</v>
      </c>
      <c r="I69" s="16" t="n">
        <f aca="false">G69*H69*0.05</f>
        <v>7.3275</v>
      </c>
      <c r="J69" s="16" t="n">
        <f aca="false">G69*H69*1.05</f>
        <v>153.8775</v>
      </c>
      <c r="K69" s="17" t="n">
        <v>43472</v>
      </c>
      <c r="L69" s="14" t="s">
        <v>192</v>
      </c>
      <c r="M69" s="14" t="s">
        <v>30</v>
      </c>
      <c r="N69" s="16" t="n">
        <f aca="false">G69*H69</f>
        <v>146.55</v>
      </c>
      <c r="O69" s="18" t="n">
        <v>4.761904762</v>
      </c>
      <c r="P69" s="16" t="n">
        <f aca="false">I69</f>
        <v>7.3275</v>
      </c>
      <c r="Q69" s="19" t="n">
        <v>9.7</v>
      </c>
      <c r="R69" s="0" t="str">
        <f aca="false">TEXT(K69,"mmm yyyy")</f>
        <v>Jan 2019</v>
      </c>
      <c r="S69" s="14" t="n">
        <f aca="false">HOUR(TIMEVALUE(L69))</f>
        <v>13</v>
      </c>
      <c r="T69" s="0" t="str">
        <f aca="false">IF(S69&lt;12,"Morning",IF(S69&lt;17,"Afternoon","Evening"))</f>
        <v>Afternoon</v>
      </c>
      <c r="U69" s="16" t="n">
        <f aca="false">G69*H69*0.05</f>
        <v>7.3275</v>
      </c>
    </row>
    <row r="70" customFormat="false" ht="15" hidden="false" customHeight="false" outlineLevel="0" collapsed="false">
      <c r="A70" s="0" t="s">
        <v>193</v>
      </c>
      <c r="B70" s="0" t="s">
        <v>25</v>
      </c>
      <c r="C70" s="0" t="s">
        <v>68</v>
      </c>
      <c r="D70" s="0" t="s">
        <v>21</v>
      </c>
      <c r="E70" s="0" t="s">
        <v>57</v>
      </c>
      <c r="F70" s="0" t="s">
        <v>36</v>
      </c>
      <c r="G70" s="16" t="n">
        <v>25.11</v>
      </c>
      <c r="H70" s="0" t="n">
        <v>6</v>
      </c>
      <c r="I70" s="16" t="n">
        <f aca="false">G70*H70*0.05</f>
        <v>7.533</v>
      </c>
      <c r="J70" s="16" t="n">
        <f aca="false">G70*H70*1.05</f>
        <v>158.193</v>
      </c>
      <c r="K70" s="17" t="n">
        <v>43472</v>
      </c>
      <c r="L70" s="14" t="s">
        <v>194</v>
      </c>
      <c r="M70" s="14" t="s">
        <v>34</v>
      </c>
      <c r="N70" s="16" t="n">
        <f aca="false">G70*H70</f>
        <v>150.66</v>
      </c>
      <c r="O70" s="18" t="n">
        <v>4.761904762</v>
      </c>
      <c r="P70" s="16" t="n">
        <f aca="false">I70</f>
        <v>7.533</v>
      </c>
      <c r="Q70" s="19" t="n">
        <v>7.1</v>
      </c>
      <c r="R70" s="0" t="str">
        <f aca="false">TEXT(K70,"mmm yyyy")</f>
        <v>Jan 2019</v>
      </c>
      <c r="S70" s="14" t="n">
        <f aca="false">HOUR(TIMEVALUE(L70))</f>
        <v>14</v>
      </c>
      <c r="T70" s="0" t="str">
        <f aca="false">IF(S70&lt;12,"Morning",IF(S70&lt;17,"Afternoon","Evening"))</f>
        <v>Afternoon</v>
      </c>
      <c r="U70" s="16" t="n">
        <f aca="false">G70*H70*0.05</f>
        <v>7.533</v>
      </c>
    </row>
    <row r="71" customFormat="false" ht="15" hidden="false" customHeight="false" outlineLevel="0" collapsed="false">
      <c r="A71" s="0" t="s">
        <v>195</v>
      </c>
      <c r="B71" s="0" t="s">
        <v>29</v>
      </c>
      <c r="C71" s="0" t="s">
        <v>56</v>
      </c>
      <c r="D71" s="0" t="s">
        <v>21</v>
      </c>
      <c r="E71" s="0" t="s">
        <v>60</v>
      </c>
      <c r="F71" s="0" t="s">
        <v>35</v>
      </c>
      <c r="G71" s="16" t="n">
        <v>88.78</v>
      </c>
      <c r="H71" s="0" t="n">
        <v>9</v>
      </c>
      <c r="I71" s="16" t="n">
        <f aca="false">G71*H71*0.05</f>
        <v>39.951</v>
      </c>
      <c r="J71" s="16" t="n">
        <f aca="false">G71*H71*1.05</f>
        <v>838.971</v>
      </c>
      <c r="K71" s="17" t="n">
        <v>43472</v>
      </c>
      <c r="L71" s="14" t="s">
        <v>196</v>
      </c>
      <c r="M71" s="14" t="s">
        <v>26</v>
      </c>
      <c r="N71" s="16" t="n">
        <f aca="false">G71*H71</f>
        <v>799.02</v>
      </c>
      <c r="O71" s="18" t="n">
        <v>4.761904762</v>
      </c>
      <c r="P71" s="16" t="n">
        <f aca="false">I71</f>
        <v>39.951</v>
      </c>
      <c r="Q71" s="19" t="n">
        <v>8.6</v>
      </c>
      <c r="R71" s="0" t="str">
        <f aca="false">TEXT(K71,"mmm yyyy")</f>
        <v>Jan 2019</v>
      </c>
      <c r="S71" s="14" t="n">
        <f aca="false">HOUR(TIMEVALUE(L71))</f>
        <v>17</v>
      </c>
      <c r="T71" s="0" t="str">
        <f aca="false">IF(S71&lt;12,"Morning",IF(S71&lt;17,"Afternoon","Evening"))</f>
        <v>Evening</v>
      </c>
      <c r="U71" s="16" t="n">
        <f aca="false">G71*H71*0.05</f>
        <v>39.951</v>
      </c>
    </row>
    <row r="72" customFormat="false" ht="15" hidden="false" customHeight="false" outlineLevel="0" collapsed="false">
      <c r="A72" s="0" t="s">
        <v>197</v>
      </c>
      <c r="B72" s="0" t="s">
        <v>29</v>
      </c>
      <c r="C72" s="0" t="s">
        <v>56</v>
      </c>
      <c r="D72" s="0" t="s">
        <v>21</v>
      </c>
      <c r="E72" s="0" t="s">
        <v>57</v>
      </c>
      <c r="F72" s="0" t="s">
        <v>35</v>
      </c>
      <c r="G72" s="16" t="n">
        <v>42.79</v>
      </c>
      <c r="H72" s="0" t="n">
        <v>2</v>
      </c>
      <c r="I72" s="16" t="n">
        <f aca="false">G72*H72*0.05</f>
        <v>4.279</v>
      </c>
      <c r="J72" s="16" t="n">
        <f aca="false">G72*H72*1.05</f>
        <v>89.859</v>
      </c>
      <c r="K72" s="17" t="n">
        <v>43472</v>
      </c>
      <c r="L72" s="14" t="s">
        <v>198</v>
      </c>
      <c r="M72" s="14" t="s">
        <v>26</v>
      </c>
      <c r="N72" s="16" t="n">
        <f aca="false">G72*H72</f>
        <v>85.58</v>
      </c>
      <c r="O72" s="18" t="n">
        <v>4.761904762</v>
      </c>
      <c r="P72" s="16" t="n">
        <f aca="false">I72</f>
        <v>4.279</v>
      </c>
      <c r="Q72" s="19" t="n">
        <v>7.6</v>
      </c>
      <c r="R72" s="0" t="str">
        <f aca="false">TEXT(K72,"mmm yyyy")</f>
        <v>Jan 2019</v>
      </c>
      <c r="S72" s="14" t="n">
        <f aca="false">HOUR(TIMEVALUE(L72))</f>
        <v>14</v>
      </c>
      <c r="T72" s="0" t="str">
        <f aca="false">IF(S72&lt;12,"Morning",IF(S72&lt;17,"Afternoon","Evening"))</f>
        <v>Afternoon</v>
      </c>
      <c r="U72" s="16" t="n">
        <f aca="false">G72*H72*0.05</f>
        <v>4.279</v>
      </c>
    </row>
    <row r="73" customFormat="false" ht="15" hidden="false" customHeight="false" outlineLevel="0" collapsed="false">
      <c r="A73" s="0" t="s">
        <v>199</v>
      </c>
      <c r="B73" s="0" t="s">
        <v>29</v>
      </c>
      <c r="C73" s="0" t="s">
        <v>56</v>
      </c>
      <c r="D73" s="0" t="s">
        <v>21</v>
      </c>
      <c r="E73" s="0" t="s">
        <v>60</v>
      </c>
      <c r="F73" s="0" t="s">
        <v>23</v>
      </c>
      <c r="G73" s="16" t="n">
        <v>29.8</v>
      </c>
      <c r="H73" s="0" t="n">
        <v>7</v>
      </c>
      <c r="I73" s="16" t="n">
        <f aca="false">G73*H73*0.05</f>
        <v>10.43</v>
      </c>
      <c r="J73" s="16" t="n">
        <f aca="false">G73*H73*1.05</f>
        <v>219.03</v>
      </c>
      <c r="K73" s="17" t="n">
        <v>43473</v>
      </c>
      <c r="L73" s="14" t="s">
        <v>200</v>
      </c>
      <c r="M73" s="14" t="s">
        <v>30</v>
      </c>
      <c r="N73" s="16" t="n">
        <f aca="false">G73*H73</f>
        <v>208.6</v>
      </c>
      <c r="O73" s="18" t="n">
        <v>4.761904762</v>
      </c>
      <c r="P73" s="16" t="n">
        <f aca="false">I73</f>
        <v>10.43</v>
      </c>
      <c r="Q73" s="19" t="n">
        <v>7.5</v>
      </c>
      <c r="R73" s="0" t="str">
        <f aca="false">TEXT(K73,"mmm yyyy")</f>
        <v>Jan 2019</v>
      </c>
      <c r="S73" s="14" t="n">
        <f aca="false">HOUR(TIMEVALUE(L73))</f>
        <v>12</v>
      </c>
      <c r="T73" s="0" t="str">
        <f aca="false">IF(S73&lt;12,"Morning",IF(S73&lt;17,"Afternoon","Evening"))</f>
        <v>Afternoon</v>
      </c>
      <c r="U73" s="16" t="n">
        <f aca="false">G73*H73*0.05</f>
        <v>10.43</v>
      </c>
    </row>
    <row r="74" customFormat="false" ht="15" hidden="false" customHeight="false" outlineLevel="0" collapsed="false">
      <c r="A74" s="0" t="s">
        <v>201</v>
      </c>
      <c r="B74" s="0" t="s">
        <v>29</v>
      </c>
      <c r="C74" s="0" t="s">
        <v>56</v>
      </c>
      <c r="D74" s="0" t="s">
        <v>22</v>
      </c>
      <c r="E74" s="0" t="s">
        <v>57</v>
      </c>
      <c r="F74" s="0" t="s">
        <v>23</v>
      </c>
      <c r="G74" s="16" t="n">
        <v>18.58</v>
      </c>
      <c r="H74" s="0" t="n">
        <v>7</v>
      </c>
      <c r="I74" s="16" t="n">
        <f aca="false">G74*H74*0.05</f>
        <v>6.503</v>
      </c>
      <c r="J74" s="16" t="n">
        <f aca="false">G74*H74*1.05</f>
        <v>136.563</v>
      </c>
      <c r="K74" s="17" t="n">
        <v>43473</v>
      </c>
      <c r="L74" s="14" t="s">
        <v>202</v>
      </c>
      <c r="M74" s="14" t="s">
        <v>34</v>
      </c>
      <c r="N74" s="16" t="n">
        <f aca="false">G74*H74</f>
        <v>130.06</v>
      </c>
      <c r="O74" s="18" t="n">
        <v>4.761904762</v>
      </c>
      <c r="P74" s="16" t="n">
        <f aca="false">I74</f>
        <v>6.503</v>
      </c>
      <c r="Q74" s="19" t="n">
        <v>4.9</v>
      </c>
      <c r="R74" s="0" t="str">
        <f aca="false">TEXT(K74,"mmm yyyy")</f>
        <v>Jan 2019</v>
      </c>
      <c r="S74" s="14" t="n">
        <f aca="false">HOUR(TIMEVALUE(L74))</f>
        <v>16</v>
      </c>
      <c r="T74" s="0" t="str">
        <f aca="false">IF(S74&lt;12,"Morning",IF(S74&lt;17,"Afternoon","Evening"))</f>
        <v>Afternoon</v>
      </c>
      <c r="U74" s="16" t="n">
        <f aca="false">G74*H74*0.05</f>
        <v>6.503</v>
      </c>
    </row>
    <row r="75" customFormat="false" ht="15" hidden="false" customHeight="false" outlineLevel="0" collapsed="false">
      <c r="A75" s="0" t="s">
        <v>203</v>
      </c>
      <c r="B75" s="0" t="s">
        <v>33</v>
      </c>
      <c r="C75" s="0" t="s">
        <v>65</v>
      </c>
      <c r="D75" s="0" t="s">
        <v>21</v>
      </c>
      <c r="E75" s="0" t="s">
        <v>57</v>
      </c>
      <c r="F75" s="0" t="s">
        <v>36</v>
      </c>
      <c r="G75" s="16" t="n">
        <v>74</v>
      </c>
      <c r="H75" s="0" t="n">
        <v>5</v>
      </c>
      <c r="I75" s="16" t="n">
        <f aca="false">G75*H75*0.05</f>
        <v>18.5</v>
      </c>
      <c r="J75" s="16" t="n">
        <f aca="false">G75*H75*1.05</f>
        <v>388.5</v>
      </c>
      <c r="K75" s="17" t="n">
        <v>43473</v>
      </c>
      <c r="L75" s="14" t="s">
        <v>204</v>
      </c>
      <c r="M75" s="14" t="s">
        <v>30</v>
      </c>
      <c r="N75" s="16" t="n">
        <f aca="false">G75*H75</f>
        <v>370</v>
      </c>
      <c r="O75" s="18" t="n">
        <v>4.761904762</v>
      </c>
      <c r="P75" s="16" t="n">
        <f aca="false">I75</f>
        <v>18.5</v>
      </c>
      <c r="Q75" s="19" t="n">
        <v>7.1</v>
      </c>
      <c r="R75" s="0" t="str">
        <f aca="false">TEXT(K75,"mmm yyyy")</f>
        <v>Jan 2019</v>
      </c>
      <c r="S75" s="14" t="n">
        <f aca="false">HOUR(TIMEVALUE(L75))</f>
        <v>18</v>
      </c>
      <c r="T75" s="0" t="str">
        <f aca="false">IF(S75&lt;12,"Morning",IF(S75&lt;17,"Afternoon","Evening"))</f>
        <v>Evening</v>
      </c>
      <c r="U75" s="16" t="n">
        <f aca="false">G75*H75*0.05</f>
        <v>18.5</v>
      </c>
    </row>
    <row r="76" customFormat="false" ht="15" hidden="false" customHeight="false" outlineLevel="0" collapsed="false">
      <c r="A76" s="0" t="s">
        <v>205</v>
      </c>
      <c r="B76" s="0" t="s">
        <v>25</v>
      </c>
      <c r="C76" s="0" t="s">
        <v>68</v>
      </c>
      <c r="D76" s="0" t="s">
        <v>22</v>
      </c>
      <c r="E76" s="0" t="s">
        <v>60</v>
      </c>
      <c r="F76" s="0" t="s">
        <v>31</v>
      </c>
      <c r="G76" s="16" t="n">
        <v>65.8</v>
      </c>
      <c r="H76" s="0" t="n">
        <v>7</v>
      </c>
      <c r="I76" s="16" t="n">
        <f aca="false">G76*H76*0.05</f>
        <v>23.03</v>
      </c>
      <c r="J76" s="16" t="n">
        <f aca="false">G76*H76*1.05</f>
        <v>483.63</v>
      </c>
      <c r="K76" s="17" t="n">
        <v>43473</v>
      </c>
      <c r="L76" s="14" t="s">
        <v>206</v>
      </c>
      <c r="M76" s="14" t="s">
        <v>26</v>
      </c>
      <c r="N76" s="16" t="n">
        <f aca="false">G76*H76</f>
        <v>460.6</v>
      </c>
      <c r="O76" s="18" t="n">
        <v>4.761904762</v>
      </c>
      <c r="P76" s="16" t="n">
        <f aca="false">I76</f>
        <v>23.03</v>
      </c>
      <c r="Q76" s="19" t="n">
        <v>6.1</v>
      </c>
      <c r="R76" s="0" t="str">
        <f aca="false">TEXT(K76,"mmm yyyy")</f>
        <v>Jan 2019</v>
      </c>
      <c r="S76" s="14" t="n">
        <f aca="false">HOUR(TIMEVALUE(L76))</f>
        <v>17</v>
      </c>
      <c r="T76" s="0" t="str">
        <f aca="false">IF(S76&lt;12,"Morning",IF(S76&lt;17,"Afternoon","Evening"))</f>
        <v>Evening</v>
      </c>
      <c r="U76" s="16" t="n">
        <f aca="false">G76*H76*0.05</f>
        <v>23.03</v>
      </c>
    </row>
    <row r="77" customFormat="false" ht="15" hidden="false" customHeight="false" outlineLevel="0" collapsed="false">
      <c r="A77" s="0" t="s">
        <v>207</v>
      </c>
      <c r="B77" s="0" t="s">
        <v>33</v>
      </c>
      <c r="C77" s="0" t="s">
        <v>65</v>
      </c>
      <c r="D77" s="0" t="s">
        <v>21</v>
      </c>
      <c r="E77" s="0" t="s">
        <v>57</v>
      </c>
      <c r="F77" s="0" t="s">
        <v>27</v>
      </c>
      <c r="G77" s="16" t="n">
        <v>93.43</v>
      </c>
      <c r="H77" s="0" t="n">
        <v>3</v>
      </c>
      <c r="I77" s="16" t="n">
        <f aca="false">G77*H77*0.05</f>
        <v>14.0145</v>
      </c>
      <c r="J77" s="16" t="n">
        <f aca="false">G77*H77*1.05</f>
        <v>294.3045</v>
      </c>
      <c r="K77" s="17" t="n">
        <v>43473</v>
      </c>
      <c r="L77" s="14" t="s">
        <v>208</v>
      </c>
      <c r="M77" s="14" t="s">
        <v>30</v>
      </c>
      <c r="N77" s="16" t="n">
        <f aca="false">G77*H77</f>
        <v>280.29</v>
      </c>
      <c r="O77" s="18" t="n">
        <v>4.761904762</v>
      </c>
      <c r="P77" s="16" t="n">
        <f aca="false">I77</f>
        <v>14.0145</v>
      </c>
      <c r="Q77" s="19" t="n">
        <v>4.6</v>
      </c>
      <c r="R77" s="0" t="str">
        <f aca="false">TEXT(K77,"mmm yyyy")</f>
        <v>Jan 2019</v>
      </c>
      <c r="S77" s="14" t="n">
        <f aca="false">HOUR(TIMEVALUE(L77))</f>
        <v>13</v>
      </c>
      <c r="T77" s="0" t="str">
        <f aca="false">IF(S77&lt;12,"Morning",IF(S77&lt;17,"Afternoon","Evening"))</f>
        <v>Afternoon</v>
      </c>
      <c r="U77" s="16" t="n">
        <f aca="false">G77*H77*0.05</f>
        <v>14.0145</v>
      </c>
    </row>
    <row r="78" customFormat="false" ht="15" hidden="false" customHeight="false" outlineLevel="0" collapsed="false">
      <c r="A78" s="0" t="s">
        <v>209</v>
      </c>
      <c r="B78" s="0" t="s">
        <v>33</v>
      </c>
      <c r="C78" s="0" t="s">
        <v>65</v>
      </c>
      <c r="D78" s="0" t="s">
        <v>22</v>
      </c>
      <c r="E78" s="0" t="s">
        <v>60</v>
      </c>
      <c r="F78" s="0" t="s">
        <v>37</v>
      </c>
      <c r="G78" s="16" t="n">
        <v>49.33</v>
      </c>
      <c r="H78" s="0" t="n">
        <v>6</v>
      </c>
      <c r="I78" s="16" t="n">
        <f aca="false">G78*H78*0.05</f>
        <v>14.799</v>
      </c>
      <c r="J78" s="16" t="n">
        <f aca="false">G78*H78*1.05</f>
        <v>310.779</v>
      </c>
      <c r="K78" s="17" t="n">
        <v>43473</v>
      </c>
      <c r="L78" s="14" t="s">
        <v>210</v>
      </c>
      <c r="M78" s="14" t="s">
        <v>26</v>
      </c>
      <c r="N78" s="16" t="n">
        <f aca="false">G78*H78</f>
        <v>295.98</v>
      </c>
      <c r="O78" s="18" t="n">
        <v>4.761904762</v>
      </c>
      <c r="P78" s="16" t="n">
        <f aca="false">I78</f>
        <v>14.799</v>
      </c>
      <c r="Q78" s="19" t="n">
        <v>4</v>
      </c>
      <c r="R78" s="0" t="str">
        <f aca="false">TEXT(K78,"mmm yyyy")</f>
        <v>Jan 2019</v>
      </c>
      <c r="S78" s="14" t="n">
        <f aca="false">HOUR(TIMEVALUE(L78))</f>
        <v>12</v>
      </c>
      <c r="T78" s="0" t="str">
        <f aca="false">IF(S78&lt;12,"Morning",IF(S78&lt;17,"Afternoon","Evening"))</f>
        <v>Afternoon</v>
      </c>
      <c r="U78" s="16" t="n">
        <f aca="false">G78*H78*0.05</f>
        <v>14.799</v>
      </c>
    </row>
    <row r="79" customFormat="false" ht="15" hidden="false" customHeight="false" outlineLevel="0" collapsed="false">
      <c r="A79" s="0" t="s">
        <v>211</v>
      </c>
      <c r="B79" s="0" t="s">
        <v>33</v>
      </c>
      <c r="C79" s="0" t="s">
        <v>65</v>
      </c>
      <c r="D79" s="0" t="s">
        <v>22</v>
      </c>
      <c r="E79" s="0" t="s">
        <v>60</v>
      </c>
      <c r="F79" s="0" t="s">
        <v>31</v>
      </c>
      <c r="G79" s="16" t="n">
        <v>61.74</v>
      </c>
      <c r="H79" s="0" t="n">
        <v>10</v>
      </c>
      <c r="I79" s="16" t="n">
        <f aca="false">G79*H79*0.05</f>
        <v>30.87</v>
      </c>
      <c r="J79" s="16" t="n">
        <f aca="false">G79*H79*1.05</f>
        <v>648.27</v>
      </c>
      <c r="K79" s="17" t="n">
        <v>43473</v>
      </c>
      <c r="L79" s="14" t="s">
        <v>212</v>
      </c>
      <c r="M79" s="14" t="s">
        <v>30</v>
      </c>
      <c r="N79" s="16" t="n">
        <f aca="false">G79*H79</f>
        <v>617.4</v>
      </c>
      <c r="O79" s="18" t="n">
        <v>4.761904762</v>
      </c>
      <c r="P79" s="16" t="n">
        <f aca="false">I79</f>
        <v>30.87</v>
      </c>
      <c r="Q79" s="19" t="n">
        <v>4.6</v>
      </c>
      <c r="R79" s="0" t="str">
        <f aca="false">TEXT(K79,"mmm yyyy")</f>
        <v>Jan 2019</v>
      </c>
      <c r="S79" s="14" t="n">
        <f aca="false">HOUR(TIMEVALUE(L79))</f>
        <v>16</v>
      </c>
      <c r="T79" s="0" t="str">
        <f aca="false">IF(S79&lt;12,"Morning",IF(S79&lt;17,"Afternoon","Evening"))</f>
        <v>Afternoon</v>
      </c>
      <c r="U79" s="16" t="n">
        <f aca="false">G79*H79*0.05</f>
        <v>30.87</v>
      </c>
    </row>
    <row r="80" customFormat="false" ht="15" hidden="false" customHeight="false" outlineLevel="0" collapsed="false">
      <c r="A80" s="0" t="s">
        <v>213</v>
      </c>
      <c r="B80" s="0" t="s">
        <v>25</v>
      </c>
      <c r="C80" s="0" t="s">
        <v>68</v>
      </c>
      <c r="D80" s="0" t="s">
        <v>22</v>
      </c>
      <c r="E80" s="0" t="s">
        <v>60</v>
      </c>
      <c r="F80" s="0" t="s">
        <v>31</v>
      </c>
      <c r="G80" s="16" t="n">
        <v>98.68</v>
      </c>
      <c r="H80" s="0" t="n">
        <v>3</v>
      </c>
      <c r="I80" s="16" t="n">
        <f aca="false">G80*H80*0.05</f>
        <v>14.802</v>
      </c>
      <c r="J80" s="16" t="n">
        <f aca="false">G80*H80*1.05</f>
        <v>310.842</v>
      </c>
      <c r="K80" s="17" t="n">
        <v>43473</v>
      </c>
      <c r="L80" s="14" t="s">
        <v>214</v>
      </c>
      <c r="M80" s="14" t="s">
        <v>30</v>
      </c>
      <c r="N80" s="16" t="n">
        <f aca="false">G80*H80</f>
        <v>296.04</v>
      </c>
      <c r="O80" s="18" t="n">
        <v>4.761904762</v>
      </c>
      <c r="P80" s="16" t="n">
        <f aca="false">I80</f>
        <v>14.802</v>
      </c>
      <c r="Q80" s="19" t="n">
        <v>6.7</v>
      </c>
      <c r="R80" s="0" t="str">
        <f aca="false">TEXT(K80,"mmm yyyy")</f>
        <v>Jan 2019</v>
      </c>
      <c r="S80" s="14" t="n">
        <f aca="false">HOUR(TIMEVALUE(L80))</f>
        <v>14</v>
      </c>
      <c r="T80" s="0" t="str">
        <f aca="false">IF(S80&lt;12,"Morning",IF(S80&lt;17,"Afternoon","Evening"))</f>
        <v>Afternoon</v>
      </c>
      <c r="U80" s="16" t="n">
        <f aca="false">G80*H80*0.05</f>
        <v>14.802</v>
      </c>
    </row>
    <row r="81" customFormat="false" ht="15" hidden="false" customHeight="false" outlineLevel="0" collapsed="false">
      <c r="A81" s="0" t="s">
        <v>215</v>
      </c>
      <c r="B81" s="0" t="s">
        <v>33</v>
      </c>
      <c r="C81" s="0" t="s">
        <v>65</v>
      </c>
      <c r="D81" s="0" t="s">
        <v>22</v>
      </c>
      <c r="E81" s="0" t="s">
        <v>60</v>
      </c>
      <c r="F81" s="0" t="s">
        <v>36</v>
      </c>
      <c r="G81" s="16" t="n">
        <v>70.62</v>
      </c>
      <c r="H81" s="0" t="n">
        <v>4</v>
      </c>
      <c r="I81" s="16" t="n">
        <f aca="false">G81*H81*0.05</f>
        <v>14.124</v>
      </c>
      <c r="J81" s="16" t="n">
        <f aca="false">G81*H81*1.05</f>
        <v>296.604</v>
      </c>
      <c r="K81" s="17" t="n">
        <v>43473</v>
      </c>
      <c r="L81" s="14" t="s">
        <v>216</v>
      </c>
      <c r="M81" s="14" t="s">
        <v>26</v>
      </c>
      <c r="N81" s="16" t="n">
        <f aca="false">G81*H81</f>
        <v>282.48</v>
      </c>
      <c r="O81" s="18" t="n">
        <v>4.761904762</v>
      </c>
      <c r="P81" s="16" t="n">
        <f aca="false">I81</f>
        <v>14.124</v>
      </c>
      <c r="Q81" s="19" t="n">
        <v>9.7</v>
      </c>
      <c r="R81" s="0" t="str">
        <f aca="false">TEXT(K81,"mmm yyyy")</f>
        <v>Jan 2019</v>
      </c>
      <c r="S81" s="14" t="n">
        <f aca="false">HOUR(TIMEVALUE(L81))</f>
        <v>16</v>
      </c>
      <c r="T81" s="0" t="str">
        <f aca="false">IF(S81&lt;12,"Morning",IF(S81&lt;17,"Afternoon","Evening"))</f>
        <v>Afternoon</v>
      </c>
      <c r="U81" s="16" t="n">
        <f aca="false">G81*H81*0.05</f>
        <v>14.124</v>
      </c>
    </row>
    <row r="82" customFormat="false" ht="15" hidden="false" customHeight="false" outlineLevel="0" collapsed="false">
      <c r="A82" s="0" t="s">
        <v>217</v>
      </c>
      <c r="B82" s="0" t="s">
        <v>25</v>
      </c>
      <c r="C82" s="0" t="s">
        <v>68</v>
      </c>
      <c r="D82" s="0" t="s">
        <v>21</v>
      </c>
      <c r="E82" s="0" t="s">
        <v>60</v>
      </c>
      <c r="F82" s="0" t="s">
        <v>27</v>
      </c>
      <c r="G82" s="16" t="n">
        <v>54.6</v>
      </c>
      <c r="H82" s="0" t="n">
        <v>1</v>
      </c>
      <c r="I82" s="16" t="n">
        <f aca="false">G82*H82*0.05</f>
        <v>2.73</v>
      </c>
      <c r="J82" s="16" t="n">
        <f aca="false">G82*H82*1.05</f>
        <v>57.33</v>
      </c>
      <c r="K82" s="17" t="n">
        <v>43473</v>
      </c>
      <c r="L82" s="14" t="s">
        <v>116</v>
      </c>
      <c r="M82" s="14" t="s">
        <v>34</v>
      </c>
      <c r="N82" s="16" t="n">
        <f aca="false">G82*H82</f>
        <v>54.6</v>
      </c>
      <c r="O82" s="18" t="n">
        <v>4.761904762</v>
      </c>
      <c r="P82" s="16" t="n">
        <f aca="false">I82</f>
        <v>2.73</v>
      </c>
      <c r="Q82" s="19" t="n">
        <v>6.3</v>
      </c>
      <c r="R82" s="0" t="str">
        <f aca="false">TEXT(K82,"mmm yyyy")</f>
        <v>Jan 2019</v>
      </c>
      <c r="S82" s="14" t="n">
        <f aca="false">HOUR(TIMEVALUE(L82))</f>
        <v>13</v>
      </c>
      <c r="T82" s="0" t="str">
        <f aca="false">IF(S82&lt;12,"Morning",IF(S82&lt;17,"Afternoon","Evening"))</f>
        <v>Afternoon</v>
      </c>
      <c r="U82" s="16" t="n">
        <f aca="false">G82*H82*0.05</f>
        <v>2.73</v>
      </c>
    </row>
    <row r="83" customFormat="false" ht="15" hidden="false" customHeight="false" outlineLevel="0" collapsed="false">
      <c r="A83" s="0" t="s">
        <v>218</v>
      </c>
      <c r="B83" s="0" t="s">
        <v>29</v>
      </c>
      <c r="C83" s="0" t="s">
        <v>56</v>
      </c>
      <c r="D83" s="0" t="s">
        <v>21</v>
      </c>
      <c r="E83" s="0" t="s">
        <v>60</v>
      </c>
      <c r="F83" s="0" t="s">
        <v>27</v>
      </c>
      <c r="G83" s="16" t="n">
        <v>21.01</v>
      </c>
      <c r="H83" s="0" t="n">
        <v>3</v>
      </c>
      <c r="I83" s="16" t="n">
        <f aca="false">G83*H83*0.05</f>
        <v>3.1515</v>
      </c>
      <c r="J83" s="16" t="n">
        <f aca="false">G83*H83*1.05</f>
        <v>66.1815</v>
      </c>
      <c r="K83" s="17" t="n">
        <v>43474</v>
      </c>
      <c r="L83" s="14" t="s">
        <v>219</v>
      </c>
      <c r="M83" s="14" t="s">
        <v>26</v>
      </c>
      <c r="N83" s="16" t="n">
        <f aca="false">G83*H83</f>
        <v>63.03</v>
      </c>
      <c r="O83" s="18" t="n">
        <v>4.761904762</v>
      </c>
      <c r="P83" s="16" t="n">
        <f aca="false">I83</f>
        <v>3.1515</v>
      </c>
      <c r="Q83" s="19" t="n">
        <v>4.4</v>
      </c>
      <c r="R83" s="0" t="str">
        <f aca="false">TEXT(K83,"mmm yyyy")</f>
        <v>Jan 2019</v>
      </c>
      <c r="S83" s="14" t="n">
        <f aca="false">HOUR(TIMEVALUE(L83))</f>
        <v>11</v>
      </c>
      <c r="T83" s="0" t="str">
        <f aca="false">IF(S83&lt;12,"Morning",IF(S83&lt;17,"Afternoon","Evening"))</f>
        <v>Morning</v>
      </c>
      <c r="U83" s="16" t="n">
        <f aca="false">G83*H83*0.05</f>
        <v>3.1515</v>
      </c>
    </row>
    <row r="84" customFormat="false" ht="15" hidden="false" customHeight="false" outlineLevel="0" collapsed="false">
      <c r="A84" s="0" t="s">
        <v>220</v>
      </c>
      <c r="B84" s="0" t="s">
        <v>25</v>
      </c>
      <c r="C84" s="0" t="s">
        <v>68</v>
      </c>
      <c r="D84" s="0" t="s">
        <v>21</v>
      </c>
      <c r="E84" s="0" t="s">
        <v>57</v>
      </c>
      <c r="F84" s="0" t="s">
        <v>37</v>
      </c>
      <c r="G84" s="16" t="n">
        <v>35.97</v>
      </c>
      <c r="H84" s="0" t="n">
        <v>3</v>
      </c>
      <c r="I84" s="16" t="n">
        <f aca="false">G84*H84*0.05</f>
        <v>5.3955</v>
      </c>
      <c r="J84" s="16" t="n">
        <f aca="false">G84*H84*1.05</f>
        <v>113.3055</v>
      </c>
      <c r="K84" s="17" t="n">
        <v>43474</v>
      </c>
      <c r="L84" s="14" t="s">
        <v>221</v>
      </c>
      <c r="M84" s="14" t="s">
        <v>26</v>
      </c>
      <c r="N84" s="16" t="n">
        <f aca="false">G84*H84</f>
        <v>107.91</v>
      </c>
      <c r="O84" s="18" t="n">
        <v>4.761904762</v>
      </c>
      <c r="P84" s="16" t="n">
        <f aca="false">I84</f>
        <v>5.3955</v>
      </c>
      <c r="Q84" s="19" t="n">
        <v>7.2</v>
      </c>
      <c r="R84" s="0" t="str">
        <f aca="false">TEXT(K84,"mmm yyyy")</f>
        <v>Jan 2019</v>
      </c>
      <c r="S84" s="14" t="n">
        <f aca="false">HOUR(TIMEVALUE(L84))</f>
        <v>18</v>
      </c>
      <c r="T84" s="0" t="str">
        <f aca="false">IF(S84&lt;12,"Morning",IF(S84&lt;17,"Afternoon","Evening"))</f>
        <v>Evening</v>
      </c>
      <c r="U84" s="16" t="n">
        <f aca="false">G84*H84*0.05</f>
        <v>5.3955</v>
      </c>
    </row>
    <row r="85" customFormat="false" ht="15" hidden="false" customHeight="false" outlineLevel="0" collapsed="false">
      <c r="A85" s="0" t="s">
        <v>222</v>
      </c>
      <c r="B85" s="0" t="s">
        <v>29</v>
      </c>
      <c r="C85" s="0" t="s">
        <v>56</v>
      </c>
      <c r="D85" s="0" t="s">
        <v>22</v>
      </c>
      <c r="E85" s="0" t="s">
        <v>60</v>
      </c>
      <c r="F85" s="0" t="s">
        <v>36</v>
      </c>
      <c r="G85" s="16" t="n">
        <v>60.18</v>
      </c>
      <c r="H85" s="0" t="n">
        <v>8</v>
      </c>
      <c r="I85" s="16" t="n">
        <f aca="false">G85*H85*0.05</f>
        <v>24.072</v>
      </c>
      <c r="J85" s="16" t="n">
        <f aca="false">G85*H85*1.05</f>
        <v>505.512</v>
      </c>
      <c r="K85" s="17" t="n">
        <v>43474</v>
      </c>
      <c r="L85" s="14" t="s">
        <v>223</v>
      </c>
      <c r="M85" s="14" t="s">
        <v>30</v>
      </c>
      <c r="N85" s="16" t="n">
        <f aca="false">G85*H85</f>
        <v>481.44</v>
      </c>
      <c r="O85" s="18" t="n">
        <v>4.761904762</v>
      </c>
      <c r="P85" s="16" t="n">
        <f aca="false">I85</f>
        <v>24.072</v>
      </c>
      <c r="Q85" s="19" t="n">
        <v>4.3</v>
      </c>
      <c r="R85" s="0" t="str">
        <f aca="false">TEXT(K85,"mmm yyyy")</f>
        <v>Jan 2019</v>
      </c>
      <c r="S85" s="14" t="n">
        <f aca="false">HOUR(TIMEVALUE(L85))</f>
        <v>14</v>
      </c>
      <c r="T85" s="0" t="str">
        <f aca="false">IF(S85&lt;12,"Morning",IF(S85&lt;17,"Afternoon","Evening"))</f>
        <v>Afternoon</v>
      </c>
      <c r="U85" s="16" t="n">
        <f aca="false">G85*H85*0.05</f>
        <v>24.072</v>
      </c>
    </row>
    <row r="86" customFormat="false" ht="15" hidden="false" customHeight="false" outlineLevel="0" collapsed="false">
      <c r="A86" s="0" t="s">
        <v>224</v>
      </c>
      <c r="B86" s="0" t="s">
        <v>25</v>
      </c>
      <c r="C86" s="0" t="s">
        <v>68</v>
      </c>
      <c r="D86" s="0" t="s">
        <v>21</v>
      </c>
      <c r="E86" s="0" t="s">
        <v>57</v>
      </c>
      <c r="F86" s="0" t="s">
        <v>31</v>
      </c>
      <c r="G86" s="16" t="n">
        <v>22.83</v>
      </c>
      <c r="H86" s="0" t="n">
        <v>5</v>
      </c>
      <c r="I86" s="16" t="n">
        <f aca="false">G86*H86*0.05</f>
        <v>5.7075</v>
      </c>
      <c r="J86" s="16" t="n">
        <f aca="false">G86*H86*1.05</f>
        <v>119.8575</v>
      </c>
      <c r="K86" s="17" t="n">
        <v>43474</v>
      </c>
      <c r="L86" s="14" t="s">
        <v>142</v>
      </c>
      <c r="M86" s="14" t="s">
        <v>30</v>
      </c>
      <c r="N86" s="16" t="n">
        <f aca="false">G86*H86</f>
        <v>114.15</v>
      </c>
      <c r="O86" s="18" t="n">
        <v>4.761904762</v>
      </c>
      <c r="P86" s="16" t="n">
        <f aca="false">I86</f>
        <v>5.7075</v>
      </c>
      <c r="Q86" s="19" t="n">
        <v>4.8</v>
      </c>
      <c r="R86" s="0" t="str">
        <f aca="false">TEXT(K86,"mmm yyyy")</f>
        <v>Jan 2019</v>
      </c>
      <c r="S86" s="14" t="n">
        <f aca="false">HOUR(TIMEVALUE(L86))</f>
        <v>13</v>
      </c>
      <c r="T86" s="0" t="str">
        <f aca="false">IF(S86&lt;12,"Morning",IF(S86&lt;17,"Afternoon","Evening"))</f>
        <v>Afternoon</v>
      </c>
      <c r="U86" s="16" t="n">
        <f aca="false">G86*H86*0.05</f>
        <v>5.7075</v>
      </c>
    </row>
    <row r="87" customFormat="false" ht="15" hidden="false" customHeight="false" outlineLevel="0" collapsed="false">
      <c r="A87" s="0" t="s">
        <v>225</v>
      </c>
      <c r="B87" s="0" t="s">
        <v>33</v>
      </c>
      <c r="C87" s="0" t="s">
        <v>65</v>
      </c>
      <c r="D87" s="0" t="s">
        <v>21</v>
      </c>
      <c r="E87" s="0" t="s">
        <v>57</v>
      </c>
      <c r="F87" s="0" t="s">
        <v>37</v>
      </c>
      <c r="G87" s="16" t="n">
        <v>11.09</v>
      </c>
      <c r="H87" s="0" t="n">
        <v>3</v>
      </c>
      <c r="I87" s="16" t="n">
        <f aca="false">G87*H87*0.05</f>
        <v>1.6635</v>
      </c>
      <c r="J87" s="16" t="n">
        <f aca="false">G87*H87*1.05</f>
        <v>34.9335</v>
      </c>
      <c r="K87" s="17" t="n">
        <v>43475</v>
      </c>
      <c r="L87" s="14" t="s">
        <v>226</v>
      </c>
      <c r="M87" s="14" t="s">
        <v>30</v>
      </c>
      <c r="N87" s="16" t="n">
        <f aca="false">G87*H87</f>
        <v>33.27</v>
      </c>
      <c r="O87" s="18" t="n">
        <v>4.761904762</v>
      </c>
      <c r="P87" s="16" t="n">
        <f aca="false">I87</f>
        <v>1.6635</v>
      </c>
      <c r="Q87" s="19" t="n">
        <v>5.2</v>
      </c>
      <c r="R87" s="0" t="str">
        <f aca="false">TEXT(K87,"mmm yyyy")</f>
        <v>Jan 2019</v>
      </c>
      <c r="S87" s="14" t="n">
        <f aca="false">HOUR(TIMEVALUE(L87))</f>
        <v>13</v>
      </c>
      <c r="T87" s="0" t="str">
        <f aca="false">IF(S87&lt;12,"Morning",IF(S87&lt;17,"Afternoon","Evening"))</f>
        <v>Afternoon</v>
      </c>
      <c r="U87" s="16" t="n">
        <f aca="false">G87*H87*0.05</f>
        <v>1.6635</v>
      </c>
    </row>
    <row r="88" customFormat="false" ht="15" hidden="false" customHeight="false" outlineLevel="0" collapsed="false">
      <c r="A88" s="0" t="s">
        <v>227</v>
      </c>
      <c r="B88" s="0" t="s">
        <v>25</v>
      </c>
      <c r="C88" s="0" t="s">
        <v>68</v>
      </c>
      <c r="D88" s="0" t="s">
        <v>22</v>
      </c>
      <c r="E88" s="0" t="s">
        <v>60</v>
      </c>
      <c r="F88" s="0" t="s">
        <v>27</v>
      </c>
      <c r="G88" s="16" t="n">
        <v>73.37</v>
      </c>
      <c r="H88" s="0" t="n">
        <v>1</v>
      </c>
      <c r="I88" s="16" t="n">
        <f aca="false">G88*H88*0.05</f>
        <v>3.6685</v>
      </c>
      <c r="J88" s="16" t="n">
        <f aca="false">G88*H88*1.05</f>
        <v>77.0385</v>
      </c>
      <c r="K88" s="17" t="n">
        <v>43475</v>
      </c>
      <c r="L88" s="14" t="s">
        <v>228</v>
      </c>
      <c r="M88" s="14" t="s">
        <v>30</v>
      </c>
      <c r="N88" s="16" t="n">
        <f aca="false">G88*H88</f>
        <v>73.37</v>
      </c>
      <c r="O88" s="18" t="n">
        <v>4.761904762</v>
      </c>
      <c r="P88" s="16" t="n">
        <f aca="false">I88</f>
        <v>3.6685</v>
      </c>
      <c r="Q88" s="19" t="n">
        <v>7.1</v>
      </c>
      <c r="R88" s="0" t="str">
        <f aca="false">TEXT(K88,"mmm yyyy")</f>
        <v>Jan 2019</v>
      </c>
      <c r="S88" s="14" t="n">
        <f aca="false">HOUR(TIMEVALUE(L88))</f>
        <v>13</v>
      </c>
      <c r="T88" s="0" t="str">
        <f aca="false">IF(S88&lt;12,"Morning",IF(S88&lt;17,"Afternoon","Evening"))</f>
        <v>Afternoon</v>
      </c>
      <c r="U88" s="16" t="n">
        <f aca="false">G88*H88*0.05</f>
        <v>3.6685</v>
      </c>
    </row>
    <row r="89" customFormat="false" ht="15" hidden="false" customHeight="false" outlineLevel="0" collapsed="false">
      <c r="A89" s="0" t="s">
        <v>229</v>
      </c>
      <c r="B89" s="0" t="s">
        <v>33</v>
      </c>
      <c r="C89" s="0" t="s">
        <v>65</v>
      </c>
      <c r="D89" s="0" t="s">
        <v>22</v>
      </c>
      <c r="E89" s="0" t="s">
        <v>60</v>
      </c>
      <c r="F89" s="0" t="s">
        <v>35</v>
      </c>
      <c r="G89" s="16" t="n">
        <v>73.89</v>
      </c>
      <c r="H89" s="0" t="n">
        <v>10</v>
      </c>
      <c r="I89" s="16" t="n">
        <f aca="false">G89*H89*0.05</f>
        <v>36.945</v>
      </c>
      <c r="J89" s="16" t="n">
        <f aca="false">G89*H89*1.05</f>
        <v>775.845</v>
      </c>
      <c r="K89" s="17" t="n">
        <v>43475</v>
      </c>
      <c r="L89" s="14" t="s">
        <v>230</v>
      </c>
      <c r="M89" s="14" t="s">
        <v>26</v>
      </c>
      <c r="N89" s="16" t="n">
        <f aca="false">G89*H89</f>
        <v>738.9</v>
      </c>
      <c r="O89" s="18" t="n">
        <v>4.761904762</v>
      </c>
      <c r="P89" s="16" t="n">
        <f aca="false">I89</f>
        <v>36.945</v>
      </c>
      <c r="Q89" s="19" t="n">
        <v>9.9</v>
      </c>
      <c r="R89" s="0" t="str">
        <f aca="false">TEXT(K89,"mmm yyyy")</f>
        <v>Jan 2019</v>
      </c>
      <c r="S89" s="14" t="n">
        <f aca="false">HOUR(TIMEVALUE(L89))</f>
        <v>20</v>
      </c>
      <c r="T89" s="0" t="str">
        <f aca="false">IF(S89&lt;12,"Morning",IF(S89&lt;17,"Afternoon","Evening"))</f>
        <v>Evening</v>
      </c>
      <c r="U89" s="16" t="n">
        <f aca="false">G89*H89*0.05</f>
        <v>36.945</v>
      </c>
    </row>
    <row r="90" customFormat="false" ht="15" hidden="false" customHeight="false" outlineLevel="0" collapsed="false">
      <c r="A90" s="0" t="s">
        <v>231</v>
      </c>
      <c r="B90" s="0" t="s">
        <v>25</v>
      </c>
      <c r="C90" s="0" t="s">
        <v>68</v>
      </c>
      <c r="D90" s="0" t="s">
        <v>22</v>
      </c>
      <c r="E90" s="0" t="s">
        <v>60</v>
      </c>
      <c r="F90" s="0" t="s">
        <v>23</v>
      </c>
      <c r="G90" s="16" t="n">
        <v>99.18</v>
      </c>
      <c r="H90" s="0" t="n">
        <v>2</v>
      </c>
      <c r="I90" s="16" t="n">
        <f aca="false">G90*H90*0.05</f>
        <v>9.918</v>
      </c>
      <c r="J90" s="16" t="n">
        <f aca="false">G90*H90*1.05</f>
        <v>208.278</v>
      </c>
      <c r="K90" s="17" t="n">
        <v>43475</v>
      </c>
      <c r="L90" s="14" t="s">
        <v>232</v>
      </c>
      <c r="M90" s="14" t="s">
        <v>34</v>
      </c>
      <c r="N90" s="16" t="n">
        <f aca="false">G90*H90</f>
        <v>198.36</v>
      </c>
      <c r="O90" s="18" t="n">
        <v>4.761904762</v>
      </c>
      <c r="P90" s="16" t="n">
        <f aca="false">I90</f>
        <v>9.918</v>
      </c>
      <c r="Q90" s="19" t="n">
        <v>8.2</v>
      </c>
      <c r="R90" s="0" t="str">
        <f aca="false">TEXT(K90,"mmm yyyy")</f>
        <v>Jan 2019</v>
      </c>
      <c r="S90" s="14" t="n">
        <f aca="false">HOUR(TIMEVALUE(L90))</f>
        <v>16</v>
      </c>
      <c r="T90" s="0" t="str">
        <f aca="false">IF(S90&lt;12,"Morning",IF(S90&lt;17,"Afternoon","Evening"))</f>
        <v>Afternoon</v>
      </c>
      <c r="U90" s="16" t="n">
        <f aca="false">G90*H90*0.05</f>
        <v>9.918</v>
      </c>
    </row>
    <row r="91" customFormat="false" ht="15" hidden="false" customHeight="false" outlineLevel="0" collapsed="false">
      <c r="A91" s="0" t="s">
        <v>233</v>
      </c>
      <c r="B91" s="0" t="s">
        <v>29</v>
      </c>
      <c r="C91" s="0" t="s">
        <v>56</v>
      </c>
      <c r="D91" s="0" t="s">
        <v>22</v>
      </c>
      <c r="E91" s="0" t="s">
        <v>60</v>
      </c>
      <c r="F91" s="0" t="s">
        <v>23</v>
      </c>
      <c r="G91" s="16" t="n">
        <v>18.83</v>
      </c>
      <c r="H91" s="0" t="n">
        <v>3</v>
      </c>
      <c r="I91" s="16" t="n">
        <f aca="false">G91*H91*0.05</f>
        <v>2.8245</v>
      </c>
      <c r="J91" s="16" t="n">
        <f aca="false">G91*H91*1.05</f>
        <v>59.3145</v>
      </c>
      <c r="K91" s="17" t="n">
        <v>43475</v>
      </c>
      <c r="L91" s="14" t="s">
        <v>234</v>
      </c>
      <c r="M91" s="14" t="s">
        <v>34</v>
      </c>
      <c r="N91" s="16" t="n">
        <f aca="false">G91*H91</f>
        <v>56.49</v>
      </c>
      <c r="O91" s="18" t="n">
        <v>4.761904762</v>
      </c>
      <c r="P91" s="16" t="n">
        <f aca="false">I91</f>
        <v>2.8245</v>
      </c>
      <c r="Q91" s="19" t="n">
        <v>7.5</v>
      </c>
      <c r="R91" s="0" t="str">
        <f aca="false">TEXT(K91,"mmm yyyy")</f>
        <v>Jan 2019</v>
      </c>
      <c r="S91" s="14" t="n">
        <f aca="false">HOUR(TIMEVALUE(L91))</f>
        <v>16</v>
      </c>
      <c r="T91" s="0" t="str">
        <f aca="false">IF(S91&lt;12,"Morning",IF(S91&lt;17,"Afternoon","Evening"))</f>
        <v>Afternoon</v>
      </c>
      <c r="U91" s="16" t="n">
        <f aca="false">G91*H91*0.05</f>
        <v>2.8245</v>
      </c>
    </row>
    <row r="92" customFormat="false" ht="15" hidden="false" customHeight="false" outlineLevel="0" collapsed="false">
      <c r="A92" s="0" t="s">
        <v>235</v>
      </c>
      <c r="B92" s="0" t="s">
        <v>29</v>
      </c>
      <c r="C92" s="0" t="s">
        <v>56</v>
      </c>
      <c r="D92" s="0" t="s">
        <v>21</v>
      </c>
      <c r="E92" s="0" t="s">
        <v>60</v>
      </c>
      <c r="F92" s="0" t="s">
        <v>23</v>
      </c>
      <c r="G92" s="16" t="n">
        <v>12.96</v>
      </c>
      <c r="H92" s="0" t="n">
        <v>7</v>
      </c>
      <c r="I92" s="16" t="n">
        <f aca="false">G92*H92*0.05</f>
        <v>4.536</v>
      </c>
      <c r="J92" s="16" t="n">
        <f aca="false">G92*H92*1.05</f>
        <v>95.256</v>
      </c>
      <c r="K92" s="17" t="n">
        <v>43475</v>
      </c>
      <c r="L92" s="14" t="s">
        <v>236</v>
      </c>
      <c r="M92" s="14" t="s">
        <v>34</v>
      </c>
      <c r="N92" s="16" t="n">
        <f aca="false">G92*H92</f>
        <v>90.72</v>
      </c>
      <c r="O92" s="18" t="n">
        <v>4.761904762</v>
      </c>
      <c r="P92" s="16" t="n">
        <f aca="false">I92</f>
        <v>4.536</v>
      </c>
      <c r="Q92" s="19" t="n">
        <v>6.3</v>
      </c>
      <c r="R92" s="0" t="str">
        <f aca="false">TEXT(K92,"mmm yyyy")</f>
        <v>Jan 2019</v>
      </c>
      <c r="S92" s="14" t="n">
        <f aca="false">HOUR(TIMEVALUE(L92))</f>
        <v>17</v>
      </c>
      <c r="T92" s="0" t="str">
        <f aca="false">IF(S92&lt;12,"Morning",IF(S92&lt;17,"Afternoon","Evening"))</f>
        <v>Evening</v>
      </c>
      <c r="U92" s="16" t="n">
        <f aca="false">G92*H92*0.05</f>
        <v>4.536</v>
      </c>
    </row>
    <row r="93" customFormat="false" ht="15" hidden="false" customHeight="false" outlineLevel="0" collapsed="false">
      <c r="A93" s="0" t="s">
        <v>237</v>
      </c>
      <c r="B93" s="0" t="s">
        <v>29</v>
      </c>
      <c r="C93" s="0" t="s">
        <v>56</v>
      </c>
      <c r="D93" s="0" t="s">
        <v>22</v>
      </c>
      <c r="E93" s="0" t="s">
        <v>57</v>
      </c>
      <c r="F93" s="0" t="s">
        <v>23</v>
      </c>
      <c r="G93" s="16" t="n">
        <v>50.6</v>
      </c>
      <c r="H93" s="0" t="n">
        <v>4</v>
      </c>
      <c r="I93" s="16" t="n">
        <f aca="false">G93*H93*0.05</f>
        <v>10.12</v>
      </c>
      <c r="J93" s="16" t="n">
        <f aca="false">G93*H93*1.05</f>
        <v>212.52</v>
      </c>
      <c r="K93" s="17" t="n">
        <v>43475</v>
      </c>
      <c r="L93" s="14" t="s">
        <v>238</v>
      </c>
      <c r="M93" s="14" t="s">
        <v>30</v>
      </c>
      <c r="N93" s="16" t="n">
        <f aca="false">G93*H93</f>
        <v>202.4</v>
      </c>
      <c r="O93" s="18" t="n">
        <v>4.761904762</v>
      </c>
      <c r="P93" s="16" t="n">
        <f aca="false">I93</f>
        <v>10.12</v>
      </c>
      <c r="Q93" s="19" t="n">
        <v>6.1</v>
      </c>
      <c r="R93" s="0" t="str">
        <f aca="false">TEXT(K93,"mmm yyyy")</f>
        <v>Jan 2019</v>
      </c>
      <c r="S93" s="14" t="n">
        <f aca="false">HOUR(TIMEVALUE(L93))</f>
        <v>19</v>
      </c>
      <c r="T93" s="0" t="str">
        <f aca="false">IF(S93&lt;12,"Morning",IF(S93&lt;17,"Afternoon","Evening"))</f>
        <v>Evening</v>
      </c>
      <c r="U93" s="16" t="n">
        <f aca="false">G93*H93*0.05</f>
        <v>10.12</v>
      </c>
    </row>
    <row r="94" customFormat="false" ht="15" hidden="false" customHeight="false" outlineLevel="0" collapsed="false">
      <c r="A94" s="0" t="s">
        <v>239</v>
      </c>
      <c r="B94" s="0" t="s">
        <v>29</v>
      </c>
      <c r="C94" s="0" t="s">
        <v>56</v>
      </c>
      <c r="D94" s="0" t="s">
        <v>21</v>
      </c>
      <c r="E94" s="0" t="s">
        <v>60</v>
      </c>
      <c r="F94" s="0" t="s">
        <v>36</v>
      </c>
      <c r="G94" s="16" t="n">
        <v>12.55</v>
      </c>
      <c r="H94" s="0" t="n">
        <v>9</v>
      </c>
      <c r="I94" s="16" t="n">
        <f aca="false">G94*H94*0.05</f>
        <v>5.6475</v>
      </c>
      <c r="J94" s="16" t="n">
        <f aca="false">G94*H94*1.05</f>
        <v>118.5975</v>
      </c>
      <c r="K94" s="17" t="n">
        <v>43475</v>
      </c>
      <c r="L94" s="14" t="s">
        <v>240</v>
      </c>
      <c r="M94" s="14" t="s">
        <v>26</v>
      </c>
      <c r="N94" s="16" t="n">
        <f aca="false">G94*H94</f>
        <v>112.95</v>
      </c>
      <c r="O94" s="18" t="n">
        <v>4.761904762</v>
      </c>
      <c r="P94" s="16" t="n">
        <f aca="false">I94</f>
        <v>5.6475</v>
      </c>
      <c r="Q94" s="19" t="n">
        <v>8.2</v>
      </c>
      <c r="R94" s="0" t="str">
        <f aca="false">TEXT(K94,"mmm yyyy")</f>
        <v>Jan 2019</v>
      </c>
      <c r="S94" s="14" t="n">
        <f aca="false">HOUR(TIMEVALUE(L94))</f>
        <v>17</v>
      </c>
      <c r="T94" s="0" t="str">
        <f aca="false">IF(S94&lt;12,"Morning",IF(S94&lt;17,"Afternoon","Evening"))</f>
        <v>Evening</v>
      </c>
      <c r="U94" s="16" t="n">
        <f aca="false">G94*H94*0.05</f>
        <v>5.6475</v>
      </c>
    </row>
    <row r="95" customFormat="false" ht="15" hidden="false" customHeight="false" outlineLevel="0" collapsed="false">
      <c r="A95" s="0" t="s">
        <v>241</v>
      </c>
      <c r="B95" s="0" t="s">
        <v>25</v>
      </c>
      <c r="C95" s="0" t="s">
        <v>68</v>
      </c>
      <c r="D95" s="0" t="s">
        <v>21</v>
      </c>
      <c r="E95" s="0" t="s">
        <v>57</v>
      </c>
      <c r="F95" s="0" t="s">
        <v>27</v>
      </c>
      <c r="G95" s="16" t="n">
        <v>60.28</v>
      </c>
      <c r="H95" s="0" t="n">
        <v>5</v>
      </c>
      <c r="I95" s="16" t="n">
        <f aca="false">G95*H95*0.05</f>
        <v>15.07</v>
      </c>
      <c r="J95" s="16" t="n">
        <f aca="false">G95*H95*1.05</f>
        <v>316.47</v>
      </c>
      <c r="K95" s="17" t="n">
        <v>43475</v>
      </c>
      <c r="L95" s="14" t="s">
        <v>242</v>
      </c>
      <c r="M95" s="14" t="s">
        <v>26</v>
      </c>
      <c r="N95" s="16" t="n">
        <f aca="false">G95*H95</f>
        <v>301.4</v>
      </c>
      <c r="O95" s="18" t="n">
        <v>4.761904762</v>
      </c>
      <c r="P95" s="16" t="n">
        <f aca="false">I95</f>
        <v>15.07</v>
      </c>
      <c r="Q95" s="19" t="n">
        <v>7</v>
      </c>
      <c r="R95" s="0" t="str">
        <f aca="false">TEXT(K95,"mmm yyyy")</f>
        <v>Jan 2019</v>
      </c>
      <c r="S95" s="14" t="n">
        <f aca="false">HOUR(TIMEVALUE(L95))</f>
        <v>11</v>
      </c>
      <c r="T95" s="0" t="str">
        <f aca="false">IF(S95&lt;12,"Morning",IF(S95&lt;17,"Afternoon","Evening"))</f>
        <v>Morning</v>
      </c>
      <c r="U95" s="16" t="n">
        <f aca="false">G95*H95*0.05</f>
        <v>15.07</v>
      </c>
    </row>
    <row r="96" customFormat="false" ht="15" hidden="false" customHeight="false" outlineLevel="0" collapsed="false">
      <c r="A96" s="0" t="s">
        <v>243</v>
      </c>
      <c r="B96" s="0" t="s">
        <v>33</v>
      </c>
      <c r="C96" s="0" t="s">
        <v>65</v>
      </c>
      <c r="D96" s="0" t="s">
        <v>21</v>
      </c>
      <c r="E96" s="0" t="s">
        <v>57</v>
      </c>
      <c r="F96" s="0" t="s">
        <v>27</v>
      </c>
      <c r="G96" s="16" t="n">
        <v>29.98</v>
      </c>
      <c r="H96" s="0" t="n">
        <v>3</v>
      </c>
      <c r="I96" s="16" t="n">
        <f aca="false">G96*H96*0.05</f>
        <v>4.497</v>
      </c>
      <c r="J96" s="16" t="n">
        <f aca="false">G96*H96*1.05</f>
        <v>94.437</v>
      </c>
      <c r="K96" s="17" t="n">
        <v>43475</v>
      </c>
      <c r="L96" s="14" t="s">
        <v>244</v>
      </c>
      <c r="M96" s="14" t="s">
        <v>26</v>
      </c>
      <c r="N96" s="16" t="n">
        <f aca="false">G96*H96</f>
        <v>89.94</v>
      </c>
      <c r="O96" s="18" t="n">
        <v>4.761904762</v>
      </c>
      <c r="P96" s="16" t="n">
        <f aca="false">I96</f>
        <v>4.497</v>
      </c>
      <c r="Q96" s="19" t="n">
        <v>6.6</v>
      </c>
      <c r="R96" s="0" t="str">
        <f aca="false">TEXT(K96,"mmm yyyy")</f>
        <v>Jan 2019</v>
      </c>
      <c r="S96" s="14" t="n">
        <f aca="false">HOUR(TIMEVALUE(L96))</f>
        <v>16</v>
      </c>
      <c r="T96" s="0" t="str">
        <f aca="false">IF(S96&lt;12,"Morning",IF(S96&lt;17,"Afternoon","Evening"))</f>
        <v>Afternoon</v>
      </c>
      <c r="U96" s="16" t="n">
        <f aca="false">G96*H96*0.05</f>
        <v>4.497</v>
      </c>
    </row>
    <row r="97" customFormat="false" ht="15" hidden="false" customHeight="false" outlineLevel="0" collapsed="false">
      <c r="A97" s="0" t="s">
        <v>245</v>
      </c>
      <c r="B97" s="0" t="s">
        <v>29</v>
      </c>
      <c r="C97" s="0" t="s">
        <v>56</v>
      </c>
      <c r="D97" s="0" t="s">
        <v>21</v>
      </c>
      <c r="E97" s="0" t="s">
        <v>57</v>
      </c>
      <c r="F97" s="0" t="s">
        <v>23</v>
      </c>
      <c r="G97" s="16" t="n">
        <v>38.88</v>
      </c>
      <c r="H97" s="0" t="n">
        <v>4</v>
      </c>
      <c r="I97" s="16" t="n">
        <f aca="false">G97*H97*0.05</f>
        <v>7.776</v>
      </c>
      <c r="J97" s="16" t="n">
        <f aca="false">G97*H97*1.05</f>
        <v>163.296</v>
      </c>
      <c r="K97" s="17" t="n">
        <v>43475</v>
      </c>
      <c r="L97" s="14" t="s">
        <v>246</v>
      </c>
      <c r="M97" s="14" t="s">
        <v>30</v>
      </c>
      <c r="N97" s="16" t="n">
        <f aca="false">G97*H97</f>
        <v>155.52</v>
      </c>
      <c r="O97" s="18" t="n">
        <v>4.761904762</v>
      </c>
      <c r="P97" s="16" t="n">
        <f aca="false">I97</f>
        <v>7.776</v>
      </c>
      <c r="Q97" s="19" t="n">
        <v>6.6</v>
      </c>
      <c r="R97" s="0" t="str">
        <f aca="false">TEXT(K97,"mmm yyyy")</f>
        <v>Jan 2019</v>
      </c>
      <c r="S97" s="14" t="n">
        <f aca="false">HOUR(TIMEVALUE(L97))</f>
        <v>16</v>
      </c>
      <c r="T97" s="0" t="str">
        <f aca="false">IF(S97&lt;12,"Morning",IF(S97&lt;17,"Afternoon","Evening"))</f>
        <v>Afternoon</v>
      </c>
      <c r="U97" s="16" t="n">
        <f aca="false">G97*H97*0.05</f>
        <v>7.776</v>
      </c>
    </row>
    <row r="98" customFormat="false" ht="15" hidden="false" customHeight="false" outlineLevel="0" collapsed="false">
      <c r="A98" s="0" t="s">
        <v>247</v>
      </c>
      <c r="B98" s="0" t="s">
        <v>25</v>
      </c>
      <c r="C98" s="0" t="s">
        <v>68</v>
      </c>
      <c r="D98" s="0" t="s">
        <v>21</v>
      </c>
      <c r="E98" s="0" t="s">
        <v>60</v>
      </c>
      <c r="F98" s="0" t="s">
        <v>37</v>
      </c>
      <c r="G98" s="16" t="n">
        <v>60.79</v>
      </c>
      <c r="H98" s="0" t="n">
        <v>10</v>
      </c>
      <c r="I98" s="16" t="n">
        <f aca="false">G98*H98*0.05</f>
        <v>30.395</v>
      </c>
      <c r="J98" s="16" t="n">
        <f aca="false">G98*H98*1.05</f>
        <v>638.295</v>
      </c>
      <c r="K98" s="17" t="n">
        <v>43475</v>
      </c>
      <c r="L98" s="14" t="s">
        <v>248</v>
      </c>
      <c r="M98" s="14" t="s">
        <v>30</v>
      </c>
      <c r="N98" s="16" t="n">
        <f aca="false">G98*H98</f>
        <v>607.9</v>
      </c>
      <c r="O98" s="18" t="n">
        <v>4.761904762</v>
      </c>
      <c r="P98" s="16" t="n">
        <f aca="false">I98</f>
        <v>30.395</v>
      </c>
      <c r="Q98" s="19" t="n">
        <v>8.2</v>
      </c>
      <c r="R98" s="0" t="str">
        <f aca="false">TEXT(K98,"mmm yyyy")</f>
        <v>Jan 2019</v>
      </c>
      <c r="S98" s="14" t="n">
        <f aca="false">HOUR(TIMEVALUE(L98))</f>
        <v>10</v>
      </c>
      <c r="T98" s="0" t="str">
        <f aca="false">IF(S98&lt;12,"Morning",IF(S98&lt;17,"Afternoon","Evening"))</f>
        <v>Morning</v>
      </c>
      <c r="U98" s="16" t="n">
        <f aca="false">G98*H98*0.05</f>
        <v>30.395</v>
      </c>
    </row>
    <row r="99" customFormat="false" ht="15" hidden="false" customHeight="false" outlineLevel="0" collapsed="false">
      <c r="A99" s="0" t="s">
        <v>249</v>
      </c>
      <c r="B99" s="0" t="s">
        <v>29</v>
      </c>
      <c r="C99" s="0" t="s">
        <v>56</v>
      </c>
      <c r="D99" s="0" t="s">
        <v>21</v>
      </c>
      <c r="E99" s="0" t="s">
        <v>57</v>
      </c>
      <c r="F99" s="0" t="s">
        <v>35</v>
      </c>
      <c r="G99" s="16" t="n">
        <v>36.31</v>
      </c>
      <c r="H99" s="0" t="n">
        <v>8</v>
      </c>
      <c r="I99" s="16" t="n">
        <f aca="false">G99*H99*0.05</f>
        <v>14.524</v>
      </c>
      <c r="J99" s="16" t="n">
        <f aca="false">G99*H99*1.05</f>
        <v>305.004</v>
      </c>
      <c r="K99" s="17" t="n">
        <v>43475</v>
      </c>
      <c r="L99" s="14" t="s">
        <v>250</v>
      </c>
      <c r="M99" s="14" t="s">
        <v>34</v>
      </c>
      <c r="N99" s="16" t="n">
        <f aca="false">G99*H99</f>
        <v>290.48</v>
      </c>
      <c r="O99" s="18" t="n">
        <v>4.761904762</v>
      </c>
      <c r="P99" s="16" t="n">
        <f aca="false">I99</f>
        <v>14.524</v>
      </c>
      <c r="Q99" s="19" t="n">
        <v>9.9</v>
      </c>
      <c r="R99" s="0" t="str">
        <f aca="false">TEXT(K99,"mmm yyyy")</f>
        <v>Jan 2019</v>
      </c>
      <c r="S99" s="14" t="n">
        <f aca="false">HOUR(TIMEVALUE(L99))</f>
        <v>19</v>
      </c>
      <c r="T99" s="0" t="str">
        <f aca="false">IF(S99&lt;12,"Morning",IF(S99&lt;17,"Afternoon","Evening"))</f>
        <v>Evening</v>
      </c>
      <c r="U99" s="16" t="n">
        <f aca="false">G99*H99*0.05</f>
        <v>14.524</v>
      </c>
    </row>
    <row r="100" customFormat="false" ht="15" hidden="false" customHeight="false" outlineLevel="0" collapsed="false">
      <c r="A100" s="0" t="s">
        <v>251</v>
      </c>
      <c r="B100" s="0" t="s">
        <v>33</v>
      </c>
      <c r="C100" s="0" t="s">
        <v>65</v>
      </c>
      <c r="D100" s="0" t="s">
        <v>22</v>
      </c>
      <c r="E100" s="0" t="s">
        <v>60</v>
      </c>
      <c r="F100" s="0" t="s">
        <v>36</v>
      </c>
      <c r="G100" s="16" t="n">
        <v>68.31</v>
      </c>
      <c r="H100" s="0" t="n">
        <v>7</v>
      </c>
      <c r="I100" s="16" t="n">
        <f aca="false">G100*H100*0.05</f>
        <v>23.9085</v>
      </c>
      <c r="J100" s="16" t="n">
        <f aca="false">G100*H100*1.05</f>
        <v>502.0785</v>
      </c>
      <c r="K100" s="17" t="n">
        <v>43476</v>
      </c>
      <c r="L100" s="14" t="s">
        <v>252</v>
      </c>
      <c r="M100" s="14" t="s">
        <v>30</v>
      </c>
      <c r="N100" s="16" t="n">
        <f aca="false">G100*H100</f>
        <v>478.17</v>
      </c>
      <c r="O100" s="18" t="n">
        <v>4.761904762</v>
      </c>
      <c r="P100" s="16" t="n">
        <f aca="false">I100</f>
        <v>23.9085</v>
      </c>
      <c r="Q100" s="19" t="n">
        <v>6.7</v>
      </c>
      <c r="R100" s="0" t="str">
        <f aca="false">TEXT(K100,"mmm yyyy")</f>
        <v>Jan 2019</v>
      </c>
      <c r="S100" s="14" t="n">
        <f aca="false">HOUR(TIMEVALUE(L100))</f>
        <v>11</v>
      </c>
      <c r="T100" s="0" t="str">
        <f aca="false">IF(S100&lt;12,"Morning",IF(S100&lt;17,"Afternoon","Evening"))</f>
        <v>Morning</v>
      </c>
      <c r="U100" s="16" t="n">
        <f aca="false">G100*H100*0.05</f>
        <v>23.9085</v>
      </c>
    </row>
    <row r="101" customFormat="false" ht="15" hidden="false" customHeight="false" outlineLevel="0" collapsed="false">
      <c r="A101" s="0" t="s">
        <v>253</v>
      </c>
      <c r="B101" s="0" t="s">
        <v>33</v>
      </c>
      <c r="C101" s="0" t="s">
        <v>65</v>
      </c>
      <c r="D101" s="0" t="s">
        <v>21</v>
      </c>
      <c r="E101" s="0" t="s">
        <v>60</v>
      </c>
      <c r="F101" s="0" t="s">
        <v>35</v>
      </c>
      <c r="G101" s="16" t="n">
        <v>43</v>
      </c>
      <c r="H101" s="0" t="n">
        <v>10</v>
      </c>
      <c r="I101" s="16" t="n">
        <f aca="false">G101*H101*0.05</f>
        <v>21.5</v>
      </c>
      <c r="J101" s="16" t="n">
        <f aca="false">G101*H101*1.05</f>
        <v>451.5</v>
      </c>
      <c r="K101" s="17" t="n">
        <v>43476</v>
      </c>
      <c r="L101" s="14" t="s">
        <v>188</v>
      </c>
      <c r="M101" s="14" t="s">
        <v>34</v>
      </c>
      <c r="N101" s="16" t="n">
        <f aca="false">G101*H101</f>
        <v>430</v>
      </c>
      <c r="O101" s="18" t="n">
        <v>4.761904762</v>
      </c>
      <c r="P101" s="16" t="n">
        <f aca="false">I101</f>
        <v>21.5</v>
      </c>
      <c r="Q101" s="19" t="n">
        <v>6.4</v>
      </c>
      <c r="R101" s="0" t="str">
        <f aca="false">TEXT(K101,"mmm yyyy")</f>
        <v>Jan 2019</v>
      </c>
      <c r="S101" s="14" t="n">
        <f aca="false">HOUR(TIMEVALUE(L101))</f>
        <v>16</v>
      </c>
      <c r="T101" s="0" t="str">
        <f aca="false">IF(S101&lt;12,"Morning",IF(S101&lt;17,"Afternoon","Evening"))</f>
        <v>Afternoon</v>
      </c>
      <c r="U101" s="16" t="n">
        <f aca="false">G101*H101*0.05</f>
        <v>21.5</v>
      </c>
    </row>
    <row r="102" customFormat="false" ht="15" hidden="false" customHeight="false" outlineLevel="0" collapsed="false">
      <c r="A102" s="0" t="s">
        <v>254</v>
      </c>
      <c r="B102" s="0" t="s">
        <v>33</v>
      </c>
      <c r="C102" s="0" t="s">
        <v>65</v>
      </c>
      <c r="D102" s="0" t="s">
        <v>21</v>
      </c>
      <c r="E102" s="0" t="s">
        <v>57</v>
      </c>
      <c r="F102" s="0" t="s">
        <v>23</v>
      </c>
      <c r="G102" s="16" t="n">
        <v>66.82</v>
      </c>
      <c r="H102" s="0" t="n">
        <v>10</v>
      </c>
      <c r="I102" s="16" t="n">
        <f aca="false">G102*H102*0.05</f>
        <v>33.41</v>
      </c>
      <c r="J102" s="16" t="n">
        <f aca="false">G102*H102*1.05</f>
        <v>701.61</v>
      </c>
      <c r="K102" s="17" t="n">
        <v>43476</v>
      </c>
      <c r="L102" s="14" t="s">
        <v>255</v>
      </c>
      <c r="M102" s="14" t="s">
        <v>30</v>
      </c>
      <c r="N102" s="16" t="n">
        <f aca="false">G102*H102</f>
        <v>668.2</v>
      </c>
      <c r="O102" s="18" t="n">
        <v>4.761904762</v>
      </c>
      <c r="P102" s="16" t="n">
        <f aca="false">I102</f>
        <v>33.41</v>
      </c>
      <c r="Q102" s="19" t="n">
        <v>5</v>
      </c>
      <c r="R102" s="0" t="str">
        <f aca="false">TEXT(K102,"mmm yyyy")</f>
        <v>Jan 2019</v>
      </c>
      <c r="S102" s="14" t="n">
        <f aca="false">HOUR(TIMEVALUE(L102))</f>
        <v>15</v>
      </c>
      <c r="T102" s="0" t="str">
        <f aca="false">IF(S102&lt;12,"Morning",IF(S102&lt;17,"Afternoon","Evening"))</f>
        <v>Afternoon</v>
      </c>
      <c r="U102" s="16" t="n">
        <f aca="false">G102*H102*0.05</f>
        <v>33.41</v>
      </c>
    </row>
    <row r="103" customFormat="false" ht="15" hidden="false" customHeight="false" outlineLevel="0" collapsed="false">
      <c r="A103" s="0" t="s">
        <v>256</v>
      </c>
      <c r="B103" s="0" t="s">
        <v>25</v>
      </c>
      <c r="C103" s="0" t="s">
        <v>68</v>
      </c>
      <c r="D103" s="0" t="s">
        <v>22</v>
      </c>
      <c r="E103" s="0" t="s">
        <v>57</v>
      </c>
      <c r="F103" s="0" t="s">
        <v>36</v>
      </c>
      <c r="G103" s="16" t="n">
        <v>20.09</v>
      </c>
      <c r="H103" s="0" t="n">
        <v>4</v>
      </c>
      <c r="I103" s="16" t="n">
        <f aca="false">G103*H103*0.05</f>
        <v>4.018</v>
      </c>
      <c r="J103" s="16" t="n">
        <f aca="false">G103*H103*1.05</f>
        <v>84.378</v>
      </c>
      <c r="K103" s="17" t="n">
        <v>43476</v>
      </c>
      <c r="L103" s="14" t="s">
        <v>257</v>
      </c>
      <c r="M103" s="14" t="s">
        <v>26</v>
      </c>
      <c r="N103" s="16" t="n">
        <f aca="false">G103*H103</f>
        <v>80.36</v>
      </c>
      <c r="O103" s="18" t="n">
        <v>4.761904762</v>
      </c>
      <c r="P103" s="16" t="n">
        <f aca="false">I103</f>
        <v>4.018</v>
      </c>
      <c r="Q103" s="19" t="n">
        <v>7.3</v>
      </c>
      <c r="R103" s="0" t="str">
        <f aca="false">TEXT(K103,"mmm yyyy")</f>
        <v>Jan 2019</v>
      </c>
      <c r="S103" s="14" t="n">
        <f aca="false">HOUR(TIMEVALUE(L103))</f>
        <v>16</v>
      </c>
      <c r="T103" s="0" t="str">
        <f aca="false">IF(S103&lt;12,"Morning",IF(S103&lt;17,"Afternoon","Evening"))</f>
        <v>Afternoon</v>
      </c>
      <c r="U103" s="16" t="n">
        <f aca="false">G103*H103*0.05</f>
        <v>4.018</v>
      </c>
    </row>
    <row r="104" customFormat="false" ht="15" hidden="false" customHeight="false" outlineLevel="0" collapsed="false">
      <c r="A104" s="0" t="s">
        <v>258</v>
      </c>
      <c r="B104" s="0" t="s">
        <v>25</v>
      </c>
      <c r="C104" s="0" t="s">
        <v>68</v>
      </c>
      <c r="D104" s="0" t="s">
        <v>22</v>
      </c>
      <c r="E104" s="0" t="s">
        <v>57</v>
      </c>
      <c r="F104" s="0" t="s">
        <v>23</v>
      </c>
      <c r="G104" s="16" t="n">
        <v>91.22</v>
      </c>
      <c r="H104" s="0" t="n">
        <v>10</v>
      </c>
      <c r="I104" s="16" t="n">
        <f aca="false">G104*H104*0.05</f>
        <v>45.61</v>
      </c>
      <c r="J104" s="16" t="n">
        <f aca="false">G104*H104*1.05</f>
        <v>957.81</v>
      </c>
      <c r="K104" s="17" t="n">
        <v>43476</v>
      </c>
      <c r="L104" s="14" t="s">
        <v>259</v>
      </c>
      <c r="M104" s="14" t="s">
        <v>26</v>
      </c>
      <c r="N104" s="16" t="n">
        <f aca="false">G104*H104</f>
        <v>912.2</v>
      </c>
      <c r="O104" s="18" t="n">
        <v>4.761904762</v>
      </c>
      <c r="P104" s="16" t="n">
        <f aca="false">I104</f>
        <v>45.61</v>
      </c>
      <c r="Q104" s="19" t="n">
        <v>4.7</v>
      </c>
      <c r="R104" s="0" t="str">
        <f aca="false">TEXT(K104,"mmm yyyy")</f>
        <v>Jan 2019</v>
      </c>
      <c r="S104" s="14" t="n">
        <f aca="false">HOUR(TIMEVALUE(L104))</f>
        <v>14</v>
      </c>
      <c r="T104" s="0" t="str">
        <f aca="false">IF(S104&lt;12,"Morning",IF(S104&lt;17,"Afternoon","Evening"))</f>
        <v>Afternoon</v>
      </c>
      <c r="U104" s="16" t="n">
        <f aca="false">G104*H104*0.05</f>
        <v>45.61</v>
      </c>
    </row>
    <row r="105" customFormat="false" ht="15" hidden="false" customHeight="false" outlineLevel="0" collapsed="false">
      <c r="A105" s="0" t="s">
        <v>260</v>
      </c>
      <c r="B105" s="0" t="s">
        <v>33</v>
      </c>
      <c r="C105" s="0" t="s">
        <v>65</v>
      </c>
      <c r="D105" s="0" t="s">
        <v>21</v>
      </c>
      <c r="E105" s="0" t="s">
        <v>60</v>
      </c>
      <c r="F105" s="0" t="s">
        <v>27</v>
      </c>
      <c r="G105" s="16" t="n">
        <v>15.76</v>
      </c>
      <c r="H105" s="0" t="n">
        <v>9</v>
      </c>
      <c r="I105" s="16" t="n">
        <f aca="false">G105*H105*0.05</f>
        <v>7.092</v>
      </c>
      <c r="J105" s="16" t="n">
        <f aca="false">G105*H105*1.05</f>
        <v>148.932</v>
      </c>
      <c r="K105" s="17" t="n">
        <v>43476</v>
      </c>
      <c r="L105" s="14" t="s">
        <v>261</v>
      </c>
      <c r="M105" s="14" t="s">
        <v>30</v>
      </c>
      <c r="N105" s="16" t="n">
        <f aca="false">G105*H105</f>
        <v>141.84</v>
      </c>
      <c r="O105" s="18" t="n">
        <v>4.761904762</v>
      </c>
      <c r="P105" s="16" t="n">
        <f aca="false">I105</f>
        <v>7.092</v>
      </c>
      <c r="Q105" s="19" t="n">
        <v>5.2</v>
      </c>
      <c r="R105" s="0" t="str">
        <f aca="false">TEXT(K105,"mmm yyyy")</f>
        <v>Jan 2019</v>
      </c>
      <c r="S105" s="14" t="n">
        <f aca="false">HOUR(TIMEVALUE(L105))</f>
        <v>16</v>
      </c>
      <c r="T105" s="0" t="str">
        <f aca="false">IF(S105&lt;12,"Morning",IF(S105&lt;17,"Afternoon","Evening"))</f>
        <v>Afternoon</v>
      </c>
      <c r="U105" s="16" t="n">
        <f aca="false">G105*H105*0.05</f>
        <v>7.092</v>
      </c>
    </row>
    <row r="106" customFormat="false" ht="15" hidden="false" customHeight="false" outlineLevel="0" collapsed="false">
      <c r="A106" s="0" t="s">
        <v>262</v>
      </c>
      <c r="B106" s="0" t="s">
        <v>29</v>
      </c>
      <c r="C106" s="0" t="s">
        <v>56</v>
      </c>
      <c r="D106" s="0" t="s">
        <v>22</v>
      </c>
      <c r="E106" s="0" t="s">
        <v>60</v>
      </c>
      <c r="F106" s="0" t="s">
        <v>36</v>
      </c>
      <c r="G106" s="16" t="n">
        <v>49.06</v>
      </c>
      <c r="H106" s="0" t="n">
        <v>6</v>
      </c>
      <c r="I106" s="16" t="n">
        <f aca="false">G106*H106*0.05</f>
        <v>14.718</v>
      </c>
      <c r="J106" s="16" t="n">
        <f aca="false">G106*H106*1.05</f>
        <v>309.078</v>
      </c>
      <c r="K106" s="17" t="n">
        <v>43476</v>
      </c>
      <c r="L106" s="14" t="s">
        <v>263</v>
      </c>
      <c r="M106" s="14" t="s">
        <v>30</v>
      </c>
      <c r="N106" s="16" t="n">
        <f aca="false">G106*H106</f>
        <v>294.36</v>
      </c>
      <c r="O106" s="18" t="n">
        <v>4.761904762</v>
      </c>
      <c r="P106" s="16" t="n">
        <f aca="false">I106</f>
        <v>14.718</v>
      </c>
      <c r="Q106" s="19" t="n">
        <v>9.6</v>
      </c>
      <c r="R106" s="0" t="str">
        <f aca="false">TEXT(K106,"mmm yyyy")</f>
        <v>Jan 2019</v>
      </c>
      <c r="S106" s="14" t="n">
        <f aca="false">HOUR(TIMEVALUE(L106))</f>
        <v>13</v>
      </c>
      <c r="T106" s="0" t="str">
        <f aca="false">IF(S106&lt;12,"Morning",IF(S106&lt;17,"Afternoon","Evening"))</f>
        <v>Afternoon</v>
      </c>
      <c r="U106" s="16" t="n">
        <f aca="false">G106*H106*0.05</f>
        <v>14.718</v>
      </c>
    </row>
    <row r="107" customFormat="false" ht="15" hidden="false" customHeight="false" outlineLevel="0" collapsed="false">
      <c r="A107" s="0" t="s">
        <v>264</v>
      </c>
      <c r="B107" s="0" t="s">
        <v>29</v>
      </c>
      <c r="C107" s="0" t="s">
        <v>56</v>
      </c>
      <c r="D107" s="0" t="s">
        <v>22</v>
      </c>
      <c r="E107" s="0" t="s">
        <v>57</v>
      </c>
      <c r="F107" s="0" t="s">
        <v>37</v>
      </c>
      <c r="G107" s="16" t="n">
        <v>42.82</v>
      </c>
      <c r="H107" s="0" t="n">
        <v>8</v>
      </c>
      <c r="I107" s="16" t="n">
        <f aca="false">G107*H107*0.05</f>
        <v>17.128</v>
      </c>
      <c r="J107" s="16" t="n">
        <f aca="false">G107*H107*1.05</f>
        <v>359.688</v>
      </c>
      <c r="K107" s="17" t="n">
        <v>43476</v>
      </c>
      <c r="L107" s="14" t="s">
        <v>265</v>
      </c>
      <c r="M107" s="14" t="s">
        <v>30</v>
      </c>
      <c r="N107" s="16" t="n">
        <f aca="false">G107*H107</f>
        <v>342.56</v>
      </c>
      <c r="O107" s="18" t="n">
        <v>4.761904762</v>
      </c>
      <c r="P107" s="16" t="n">
        <f aca="false">I107</f>
        <v>17.128</v>
      </c>
      <c r="Q107" s="19" t="n">
        <v>9.4</v>
      </c>
      <c r="R107" s="0" t="str">
        <f aca="false">TEXT(K107,"mmm yyyy")</f>
        <v>Jan 2019</v>
      </c>
      <c r="S107" s="14" t="n">
        <f aca="false">HOUR(TIMEVALUE(L107))</f>
        <v>20</v>
      </c>
      <c r="T107" s="0" t="str">
        <f aca="false">IF(S107&lt;12,"Morning",IF(S107&lt;17,"Afternoon","Evening"))</f>
        <v>Evening</v>
      </c>
      <c r="U107" s="16" t="n">
        <f aca="false">G107*H107*0.05</f>
        <v>17.128</v>
      </c>
    </row>
    <row r="108" customFormat="false" ht="15" hidden="false" customHeight="false" outlineLevel="0" collapsed="false">
      <c r="A108" s="0" t="s">
        <v>266</v>
      </c>
      <c r="B108" s="0" t="s">
        <v>25</v>
      </c>
      <c r="C108" s="0" t="s">
        <v>68</v>
      </c>
      <c r="D108" s="0" t="s">
        <v>21</v>
      </c>
      <c r="E108" s="0" t="s">
        <v>60</v>
      </c>
      <c r="F108" s="0" t="s">
        <v>31</v>
      </c>
      <c r="G108" s="16" t="n">
        <v>11.42</v>
      </c>
      <c r="H108" s="0" t="n">
        <v>3</v>
      </c>
      <c r="I108" s="16" t="n">
        <f aca="false">G108*H108*0.05</f>
        <v>1.713</v>
      </c>
      <c r="J108" s="16" t="n">
        <f aca="false">G108*H108*1.05</f>
        <v>35.973</v>
      </c>
      <c r="K108" s="17" t="n">
        <v>43476</v>
      </c>
      <c r="L108" s="14" t="s">
        <v>267</v>
      </c>
      <c r="M108" s="14" t="s">
        <v>26</v>
      </c>
      <c r="N108" s="16" t="n">
        <f aca="false">G108*H108</f>
        <v>34.26</v>
      </c>
      <c r="O108" s="18" t="n">
        <v>4.761904762</v>
      </c>
      <c r="P108" s="16" t="n">
        <f aca="false">I108</f>
        <v>1.713</v>
      </c>
      <c r="Q108" s="19" t="n">
        <v>9.5</v>
      </c>
      <c r="R108" s="0" t="str">
        <f aca="false">TEXT(K108,"mmm yyyy")</f>
        <v>Jan 2019</v>
      </c>
      <c r="S108" s="14" t="n">
        <f aca="false">HOUR(TIMEVALUE(L108))</f>
        <v>14</v>
      </c>
      <c r="T108" s="0" t="str">
        <f aca="false">IF(S108&lt;12,"Morning",IF(S108&lt;17,"Afternoon","Evening"))</f>
        <v>Afternoon</v>
      </c>
      <c r="U108" s="16" t="n">
        <f aca="false">G108*H108*0.05</f>
        <v>1.713</v>
      </c>
    </row>
    <row r="109" customFormat="false" ht="15" hidden="false" customHeight="false" outlineLevel="0" collapsed="false">
      <c r="A109" s="0" t="s">
        <v>268</v>
      </c>
      <c r="B109" s="0" t="s">
        <v>25</v>
      </c>
      <c r="C109" s="0" t="s">
        <v>68</v>
      </c>
      <c r="D109" s="0" t="s">
        <v>22</v>
      </c>
      <c r="E109" s="0" t="s">
        <v>60</v>
      </c>
      <c r="F109" s="0" t="s">
        <v>27</v>
      </c>
      <c r="G109" s="16" t="n">
        <v>96.37</v>
      </c>
      <c r="H109" s="0" t="n">
        <v>3</v>
      </c>
      <c r="I109" s="16" t="n">
        <f aca="false">G109*H109*0.05</f>
        <v>14.4555</v>
      </c>
      <c r="J109" s="16" t="n">
        <f aca="false">G109*H109*1.05</f>
        <v>303.5655</v>
      </c>
      <c r="K109" s="17" t="n">
        <v>43477</v>
      </c>
      <c r="L109" s="14" t="s">
        <v>269</v>
      </c>
      <c r="M109" s="14" t="s">
        <v>30</v>
      </c>
      <c r="N109" s="16" t="n">
        <f aca="false">G109*H109</f>
        <v>289.11</v>
      </c>
      <c r="O109" s="18" t="n">
        <v>4.761904762</v>
      </c>
      <c r="P109" s="16" t="n">
        <f aca="false">I109</f>
        <v>14.4555</v>
      </c>
      <c r="Q109" s="19" t="n">
        <v>6.1</v>
      </c>
      <c r="R109" s="0" t="str">
        <f aca="false">TEXT(K109,"mmm yyyy")</f>
        <v>Jan 2019</v>
      </c>
      <c r="S109" s="14" t="n">
        <f aca="false">HOUR(TIMEVALUE(L109))</f>
        <v>18</v>
      </c>
      <c r="T109" s="0" t="str">
        <f aca="false">IF(S109&lt;12,"Morning",IF(S109&lt;17,"Afternoon","Evening"))</f>
        <v>Evening</v>
      </c>
      <c r="U109" s="16" t="n">
        <f aca="false">G109*H109*0.05</f>
        <v>14.4555</v>
      </c>
    </row>
    <row r="110" customFormat="false" ht="15" hidden="false" customHeight="false" outlineLevel="0" collapsed="false">
      <c r="A110" s="0" t="s">
        <v>270</v>
      </c>
      <c r="B110" s="0" t="s">
        <v>33</v>
      </c>
      <c r="C110" s="0" t="s">
        <v>65</v>
      </c>
      <c r="D110" s="0" t="s">
        <v>21</v>
      </c>
      <c r="E110" s="0" t="s">
        <v>60</v>
      </c>
      <c r="F110" s="0" t="s">
        <v>27</v>
      </c>
      <c r="G110" s="16" t="n">
        <v>61.1</v>
      </c>
      <c r="H110" s="0" t="n">
        <v>1</v>
      </c>
      <c r="I110" s="16" t="n">
        <f aca="false">G110*H110*0.05</f>
        <v>3.055</v>
      </c>
      <c r="J110" s="16" t="n">
        <f aca="false">G110*H110*1.05</f>
        <v>64.155</v>
      </c>
      <c r="K110" s="17" t="n">
        <v>43477</v>
      </c>
      <c r="L110" s="14" t="s">
        <v>158</v>
      </c>
      <c r="M110" s="14" t="s">
        <v>34</v>
      </c>
      <c r="N110" s="16" t="n">
        <f aca="false">G110*H110</f>
        <v>61.1</v>
      </c>
      <c r="O110" s="18" t="n">
        <v>4.761904762</v>
      </c>
      <c r="P110" s="16" t="n">
        <f aca="false">I110</f>
        <v>3.055</v>
      </c>
      <c r="Q110" s="19" t="n">
        <v>5.3</v>
      </c>
      <c r="R110" s="0" t="str">
        <f aca="false">TEXT(K110,"mmm yyyy")</f>
        <v>Jan 2019</v>
      </c>
      <c r="S110" s="14" t="n">
        <f aca="false">HOUR(TIMEVALUE(L110))</f>
        <v>15</v>
      </c>
      <c r="T110" s="0" t="str">
        <f aca="false">IF(S110&lt;12,"Morning",IF(S110&lt;17,"Afternoon","Evening"))</f>
        <v>Afternoon</v>
      </c>
      <c r="U110" s="16" t="n">
        <f aca="false">G110*H110*0.05</f>
        <v>3.055</v>
      </c>
    </row>
    <row r="111" customFormat="false" ht="15" hidden="false" customHeight="false" outlineLevel="0" collapsed="false">
      <c r="A111" s="0" t="s">
        <v>271</v>
      </c>
      <c r="B111" s="0" t="s">
        <v>29</v>
      </c>
      <c r="C111" s="0" t="s">
        <v>56</v>
      </c>
      <c r="D111" s="0" t="s">
        <v>22</v>
      </c>
      <c r="E111" s="0" t="s">
        <v>60</v>
      </c>
      <c r="F111" s="0" t="s">
        <v>37</v>
      </c>
      <c r="G111" s="16" t="n">
        <v>17.99</v>
      </c>
      <c r="H111" s="0" t="n">
        <v>2</v>
      </c>
      <c r="I111" s="16" t="n">
        <f aca="false">G111*H111*0.05</f>
        <v>1.799</v>
      </c>
      <c r="J111" s="16" t="n">
        <f aca="false">G111*H111*1.05</f>
        <v>37.779</v>
      </c>
      <c r="K111" s="17" t="n">
        <v>43477</v>
      </c>
      <c r="L111" s="14" t="s">
        <v>272</v>
      </c>
      <c r="M111" s="14" t="s">
        <v>30</v>
      </c>
      <c r="N111" s="16" t="n">
        <f aca="false">G111*H111</f>
        <v>35.98</v>
      </c>
      <c r="O111" s="18" t="n">
        <v>4.761904762</v>
      </c>
      <c r="P111" s="16" t="n">
        <f aca="false">I111</f>
        <v>1.799</v>
      </c>
      <c r="Q111" s="19" t="n">
        <v>4.4</v>
      </c>
      <c r="R111" s="0" t="str">
        <f aca="false">TEXT(K111,"mmm yyyy")</f>
        <v>Jan 2019</v>
      </c>
      <c r="S111" s="14" t="n">
        <f aca="false">HOUR(TIMEVALUE(L111))</f>
        <v>10</v>
      </c>
      <c r="T111" s="0" t="str">
        <f aca="false">IF(S111&lt;12,"Morning",IF(S111&lt;17,"Afternoon","Evening"))</f>
        <v>Morning</v>
      </c>
      <c r="U111" s="16" t="n">
        <f aca="false">G111*H111*0.05</f>
        <v>1.799</v>
      </c>
    </row>
    <row r="112" customFormat="false" ht="15" hidden="false" customHeight="false" outlineLevel="0" collapsed="false">
      <c r="A112" s="0" t="s">
        <v>273</v>
      </c>
      <c r="B112" s="0" t="s">
        <v>33</v>
      </c>
      <c r="C112" s="0" t="s">
        <v>65</v>
      </c>
      <c r="D112" s="0" t="s">
        <v>22</v>
      </c>
      <c r="E112" s="0" t="s">
        <v>57</v>
      </c>
      <c r="F112" s="0" t="s">
        <v>27</v>
      </c>
      <c r="G112" s="16" t="n">
        <v>59.38</v>
      </c>
      <c r="H112" s="0" t="n">
        <v>5</v>
      </c>
      <c r="I112" s="16" t="n">
        <f aca="false">G112*H112*0.05</f>
        <v>14.845</v>
      </c>
      <c r="J112" s="16" t="n">
        <f aca="false">G112*H112*1.05</f>
        <v>311.745</v>
      </c>
      <c r="K112" s="17" t="n">
        <v>43477</v>
      </c>
      <c r="L112" s="14" t="s">
        <v>274</v>
      </c>
      <c r="M112" s="14" t="s">
        <v>26</v>
      </c>
      <c r="N112" s="16" t="n">
        <f aca="false">G112*H112</f>
        <v>296.9</v>
      </c>
      <c r="O112" s="18" t="n">
        <v>4.761904762</v>
      </c>
      <c r="P112" s="16" t="n">
        <f aca="false">I112</f>
        <v>14.845</v>
      </c>
      <c r="Q112" s="19" t="n">
        <v>8.5</v>
      </c>
      <c r="R112" s="0" t="str">
        <f aca="false">TEXT(K112,"mmm yyyy")</f>
        <v>Jan 2019</v>
      </c>
      <c r="S112" s="14" t="n">
        <f aca="false">HOUR(TIMEVALUE(L112))</f>
        <v>15</v>
      </c>
      <c r="T112" s="0" t="str">
        <f aca="false">IF(S112&lt;12,"Morning",IF(S112&lt;17,"Afternoon","Evening"))</f>
        <v>Afternoon</v>
      </c>
      <c r="U112" s="16" t="n">
        <f aca="false">G112*H112*0.05</f>
        <v>14.845</v>
      </c>
    </row>
    <row r="113" customFormat="false" ht="15" hidden="false" customHeight="false" outlineLevel="0" collapsed="false">
      <c r="A113" s="0" t="s">
        <v>275</v>
      </c>
      <c r="B113" s="0" t="s">
        <v>29</v>
      </c>
      <c r="C113" s="0" t="s">
        <v>56</v>
      </c>
      <c r="D113" s="0" t="s">
        <v>21</v>
      </c>
      <c r="E113" s="0" t="s">
        <v>60</v>
      </c>
      <c r="F113" s="0" t="s">
        <v>36</v>
      </c>
      <c r="G113" s="16" t="n">
        <v>94.56</v>
      </c>
      <c r="H113" s="0" t="n">
        <v>6</v>
      </c>
      <c r="I113" s="16" t="n">
        <f aca="false">G113*H113*0.05</f>
        <v>28.368</v>
      </c>
      <c r="J113" s="16" t="n">
        <f aca="false">G113*H113*1.05</f>
        <v>595.728</v>
      </c>
      <c r="K113" s="17" t="n">
        <v>43477</v>
      </c>
      <c r="L113" s="14" t="s">
        <v>276</v>
      </c>
      <c r="M113" s="14" t="s">
        <v>34</v>
      </c>
      <c r="N113" s="16" t="n">
        <f aca="false">G113*H113</f>
        <v>567.36</v>
      </c>
      <c r="O113" s="18" t="n">
        <v>4.761904762</v>
      </c>
      <c r="P113" s="16" t="n">
        <f aca="false">I113</f>
        <v>28.368</v>
      </c>
      <c r="Q113" s="19" t="n">
        <v>7</v>
      </c>
      <c r="R113" s="0" t="str">
        <f aca="false">TEXT(K113,"mmm yyyy")</f>
        <v>Jan 2019</v>
      </c>
      <c r="S113" s="14" t="n">
        <f aca="false">HOUR(TIMEVALUE(L113))</f>
        <v>13</v>
      </c>
      <c r="T113" s="0" t="str">
        <f aca="false">IF(S113&lt;12,"Morning",IF(S113&lt;17,"Afternoon","Evening"))</f>
        <v>Afternoon</v>
      </c>
      <c r="U113" s="16" t="n">
        <f aca="false">G113*H113*0.05</f>
        <v>28.368</v>
      </c>
    </row>
    <row r="114" customFormat="false" ht="15" hidden="false" customHeight="false" outlineLevel="0" collapsed="false">
      <c r="A114" s="0" t="s">
        <v>277</v>
      </c>
      <c r="B114" s="0" t="s">
        <v>29</v>
      </c>
      <c r="C114" s="0" t="s">
        <v>56</v>
      </c>
      <c r="D114" s="0" t="s">
        <v>21</v>
      </c>
      <c r="E114" s="0" t="s">
        <v>57</v>
      </c>
      <c r="F114" s="0" t="s">
        <v>23</v>
      </c>
      <c r="G114" s="16" t="n">
        <v>73.9</v>
      </c>
      <c r="H114" s="0" t="n">
        <v>8</v>
      </c>
      <c r="I114" s="16" t="n">
        <f aca="false">G114*H114*0.05</f>
        <v>29.56</v>
      </c>
      <c r="J114" s="16" t="n">
        <f aca="false">G114*H114*1.05</f>
        <v>620.76</v>
      </c>
      <c r="K114" s="17" t="n">
        <v>43477</v>
      </c>
      <c r="L114" s="14" t="s">
        <v>58</v>
      </c>
      <c r="M114" s="14" t="s">
        <v>30</v>
      </c>
      <c r="N114" s="16" t="n">
        <f aca="false">G114*H114</f>
        <v>591.2</v>
      </c>
      <c r="O114" s="18" t="n">
        <v>4.761904762</v>
      </c>
      <c r="P114" s="16" t="n">
        <f aca="false">I114</f>
        <v>29.56</v>
      </c>
      <c r="Q114" s="19" t="n">
        <v>6.5</v>
      </c>
      <c r="R114" s="0" t="str">
        <f aca="false">TEXT(K114,"mmm yyyy")</f>
        <v>Jan 2019</v>
      </c>
      <c r="S114" s="14" t="n">
        <f aca="false">HOUR(TIMEVALUE(L114))</f>
        <v>11</v>
      </c>
      <c r="T114" s="0" t="str">
        <f aca="false">IF(S114&lt;12,"Morning",IF(S114&lt;17,"Afternoon","Evening"))</f>
        <v>Morning</v>
      </c>
      <c r="U114" s="16" t="n">
        <f aca="false">G114*H114*0.05</f>
        <v>29.56</v>
      </c>
    </row>
    <row r="115" customFormat="false" ht="15" hidden="false" customHeight="false" outlineLevel="0" collapsed="false">
      <c r="A115" s="0" t="s">
        <v>278</v>
      </c>
      <c r="B115" s="0" t="s">
        <v>33</v>
      </c>
      <c r="C115" s="0" t="s">
        <v>65</v>
      </c>
      <c r="D115" s="0" t="s">
        <v>21</v>
      </c>
      <c r="E115" s="0" t="s">
        <v>60</v>
      </c>
      <c r="F115" s="0" t="s">
        <v>23</v>
      </c>
      <c r="G115" s="16" t="n">
        <v>95.38</v>
      </c>
      <c r="H115" s="0" t="n">
        <v>5</v>
      </c>
      <c r="I115" s="16" t="n">
        <f aca="false">G115*H115*0.05</f>
        <v>23.845</v>
      </c>
      <c r="J115" s="16" t="n">
        <f aca="false">G115*H115*1.05</f>
        <v>500.745</v>
      </c>
      <c r="K115" s="17" t="n">
        <v>43477</v>
      </c>
      <c r="L115" s="14" t="s">
        <v>279</v>
      </c>
      <c r="M115" s="14" t="s">
        <v>26</v>
      </c>
      <c r="N115" s="16" t="n">
        <f aca="false">G115*H115</f>
        <v>476.9</v>
      </c>
      <c r="O115" s="18" t="n">
        <v>4.761904762</v>
      </c>
      <c r="P115" s="16" t="n">
        <f aca="false">I115</f>
        <v>23.845</v>
      </c>
      <c r="Q115" s="19" t="n">
        <v>9</v>
      </c>
      <c r="R115" s="0" t="str">
        <f aca="false">TEXT(K115,"mmm yyyy")</f>
        <v>Jan 2019</v>
      </c>
      <c r="S115" s="14" t="n">
        <f aca="false">HOUR(TIMEVALUE(L115))</f>
        <v>18</v>
      </c>
      <c r="T115" s="0" t="str">
        <f aca="false">IF(S115&lt;12,"Morning",IF(S115&lt;17,"Afternoon","Evening"))</f>
        <v>Evening</v>
      </c>
      <c r="U115" s="16" t="n">
        <f aca="false">G115*H115*0.05</f>
        <v>23.845</v>
      </c>
    </row>
    <row r="116" customFormat="false" ht="15" hidden="false" customHeight="false" outlineLevel="0" collapsed="false">
      <c r="A116" s="0" t="s">
        <v>280</v>
      </c>
      <c r="B116" s="0" t="s">
        <v>25</v>
      </c>
      <c r="C116" s="0" t="s">
        <v>68</v>
      </c>
      <c r="D116" s="0" t="s">
        <v>21</v>
      </c>
      <c r="E116" s="0" t="s">
        <v>57</v>
      </c>
      <c r="F116" s="0" t="s">
        <v>27</v>
      </c>
      <c r="G116" s="16" t="n">
        <v>67.4</v>
      </c>
      <c r="H116" s="0" t="n">
        <v>8</v>
      </c>
      <c r="I116" s="16" t="n">
        <f aca="false">G116*H116*0.05</f>
        <v>26.96</v>
      </c>
      <c r="J116" s="16" t="n">
        <f aca="false">G116*H116*1.05</f>
        <v>566.16</v>
      </c>
      <c r="K116" s="17" t="n">
        <v>43477</v>
      </c>
      <c r="L116" s="14" t="s">
        <v>281</v>
      </c>
      <c r="M116" s="14" t="s">
        <v>26</v>
      </c>
      <c r="N116" s="16" t="n">
        <f aca="false">G116*H116</f>
        <v>539.2</v>
      </c>
      <c r="O116" s="18" t="n">
        <v>4.761904762</v>
      </c>
      <c r="P116" s="16" t="n">
        <f aca="false">I116</f>
        <v>26.96</v>
      </c>
      <c r="Q116" s="19" t="n">
        <v>6.3</v>
      </c>
      <c r="R116" s="0" t="str">
        <f aca="false">TEXT(K116,"mmm yyyy")</f>
        <v>Jan 2019</v>
      </c>
      <c r="S116" s="14" t="n">
        <f aca="false">HOUR(TIMEVALUE(L116))</f>
        <v>20</v>
      </c>
      <c r="T116" s="0" t="str">
        <f aca="false">IF(S116&lt;12,"Morning",IF(S116&lt;17,"Afternoon","Evening"))</f>
        <v>Evening</v>
      </c>
      <c r="U116" s="16" t="n">
        <f aca="false">G116*H116*0.05</f>
        <v>26.96</v>
      </c>
    </row>
    <row r="117" customFormat="false" ht="15" hidden="false" customHeight="false" outlineLevel="0" collapsed="false">
      <c r="A117" s="0" t="s">
        <v>282</v>
      </c>
      <c r="B117" s="0" t="s">
        <v>25</v>
      </c>
      <c r="C117" s="0" t="s">
        <v>68</v>
      </c>
      <c r="D117" s="0" t="s">
        <v>21</v>
      </c>
      <c r="E117" s="0" t="s">
        <v>57</v>
      </c>
      <c r="F117" s="0" t="s">
        <v>35</v>
      </c>
      <c r="G117" s="16" t="n">
        <v>78.39</v>
      </c>
      <c r="H117" s="0" t="n">
        <v>9</v>
      </c>
      <c r="I117" s="16" t="n">
        <f aca="false">G117*H117*0.05</f>
        <v>35.2755</v>
      </c>
      <c r="J117" s="16" t="n">
        <f aca="false">G117*H117*1.05</f>
        <v>740.7855</v>
      </c>
      <c r="K117" s="17" t="n">
        <v>43477</v>
      </c>
      <c r="L117" s="14" t="s">
        <v>283</v>
      </c>
      <c r="M117" s="14" t="s">
        <v>34</v>
      </c>
      <c r="N117" s="16" t="n">
        <f aca="false">G117*H117</f>
        <v>705.51</v>
      </c>
      <c r="O117" s="18" t="n">
        <v>4.761904762</v>
      </c>
      <c r="P117" s="16" t="n">
        <f aca="false">I117</f>
        <v>35.2755</v>
      </c>
      <c r="Q117" s="19" t="n">
        <v>6.5</v>
      </c>
      <c r="R117" s="0" t="str">
        <f aca="false">TEXT(K117,"mmm yyyy")</f>
        <v>Jan 2019</v>
      </c>
      <c r="S117" s="14" t="n">
        <f aca="false">HOUR(TIMEVALUE(L117))</f>
        <v>13</v>
      </c>
      <c r="T117" s="0" t="str">
        <f aca="false">IF(S117&lt;12,"Morning",IF(S117&lt;17,"Afternoon","Evening"))</f>
        <v>Afternoon</v>
      </c>
      <c r="U117" s="16" t="n">
        <f aca="false">G117*H117*0.05</f>
        <v>35.2755</v>
      </c>
    </row>
    <row r="118" customFormat="false" ht="15" hidden="false" customHeight="false" outlineLevel="0" collapsed="false">
      <c r="A118" s="0" t="s">
        <v>284</v>
      </c>
      <c r="B118" s="0" t="s">
        <v>29</v>
      </c>
      <c r="C118" s="0" t="s">
        <v>56</v>
      </c>
      <c r="D118" s="0" t="s">
        <v>21</v>
      </c>
      <c r="E118" s="0" t="s">
        <v>60</v>
      </c>
      <c r="F118" s="0" t="s">
        <v>23</v>
      </c>
      <c r="G118" s="16" t="n">
        <v>33.14</v>
      </c>
      <c r="H118" s="0" t="n">
        <v>5</v>
      </c>
      <c r="I118" s="16" t="n">
        <f aca="false">G118*H118*0.05</f>
        <v>8.285</v>
      </c>
      <c r="J118" s="16" t="n">
        <f aca="false">G118*H118*1.05</f>
        <v>173.985</v>
      </c>
      <c r="K118" s="17" t="n">
        <v>43477</v>
      </c>
      <c r="L118" s="14" t="s">
        <v>104</v>
      </c>
      <c r="M118" s="14" t="s">
        <v>30</v>
      </c>
      <c r="N118" s="16" t="n">
        <f aca="false">G118*H118</f>
        <v>165.7</v>
      </c>
      <c r="O118" s="18" t="n">
        <v>4.761904762</v>
      </c>
      <c r="P118" s="16" t="n">
        <f aca="false">I118</f>
        <v>8.285</v>
      </c>
      <c r="Q118" s="19" t="n">
        <v>7.3</v>
      </c>
      <c r="R118" s="0" t="str">
        <f aca="false">TEXT(K118,"mmm yyyy")</f>
        <v>Jan 2019</v>
      </c>
      <c r="S118" s="14" t="n">
        <f aca="false">HOUR(TIMEVALUE(L118))</f>
        <v>13</v>
      </c>
      <c r="T118" s="0" t="str">
        <f aca="false">IF(S118&lt;12,"Morning",IF(S118&lt;17,"Afternoon","Evening"))</f>
        <v>Afternoon</v>
      </c>
      <c r="U118" s="16" t="n">
        <f aca="false">G118*H118*0.05</f>
        <v>8.285</v>
      </c>
    </row>
    <row r="119" customFormat="false" ht="15" hidden="false" customHeight="false" outlineLevel="0" collapsed="false">
      <c r="A119" s="0" t="s">
        <v>285</v>
      </c>
      <c r="B119" s="0" t="s">
        <v>33</v>
      </c>
      <c r="C119" s="0" t="s">
        <v>65</v>
      </c>
      <c r="D119" s="0" t="s">
        <v>21</v>
      </c>
      <c r="E119" s="0" t="s">
        <v>60</v>
      </c>
      <c r="F119" s="0" t="s">
        <v>27</v>
      </c>
      <c r="G119" s="16" t="n">
        <v>41.65</v>
      </c>
      <c r="H119" s="0" t="n">
        <v>3</v>
      </c>
      <c r="I119" s="16" t="n">
        <f aca="false">G119*H119*0.05</f>
        <v>6.2475</v>
      </c>
      <c r="J119" s="16" t="n">
        <f aca="false">G119*H119*1.05</f>
        <v>131.1975</v>
      </c>
      <c r="K119" s="17" t="n">
        <v>43477</v>
      </c>
      <c r="L119" s="14" t="s">
        <v>286</v>
      </c>
      <c r="M119" s="14" t="s">
        <v>26</v>
      </c>
      <c r="N119" s="16" t="n">
        <f aca="false">G119*H119</f>
        <v>124.95</v>
      </c>
      <c r="O119" s="18" t="n">
        <v>4.761904762</v>
      </c>
      <c r="P119" s="16" t="n">
        <f aca="false">I119</f>
        <v>6.2475</v>
      </c>
      <c r="Q119" s="19" t="n">
        <v>4.9</v>
      </c>
      <c r="R119" s="0" t="str">
        <f aca="false">TEXT(K119,"mmm yyyy")</f>
        <v>Jan 2019</v>
      </c>
      <c r="S119" s="14" t="n">
        <f aca="false">HOUR(TIMEVALUE(L119))</f>
        <v>15</v>
      </c>
      <c r="T119" s="0" t="str">
        <f aca="false">IF(S119&lt;12,"Morning",IF(S119&lt;17,"Afternoon","Evening"))</f>
        <v>Afternoon</v>
      </c>
      <c r="U119" s="16" t="n">
        <f aca="false">G119*H119*0.05</f>
        <v>6.2475</v>
      </c>
    </row>
    <row r="120" customFormat="false" ht="15" hidden="false" customHeight="false" outlineLevel="0" collapsed="false">
      <c r="A120" s="0" t="s">
        <v>287</v>
      </c>
      <c r="B120" s="0" t="s">
        <v>29</v>
      </c>
      <c r="C120" s="0" t="s">
        <v>56</v>
      </c>
      <c r="D120" s="0" t="s">
        <v>22</v>
      </c>
      <c r="E120" s="0" t="s">
        <v>57</v>
      </c>
      <c r="F120" s="0" t="s">
        <v>31</v>
      </c>
      <c r="G120" s="16" t="n">
        <v>67.81</v>
      </c>
      <c r="H120" s="0" t="n">
        <v>8</v>
      </c>
      <c r="I120" s="16" t="n">
        <f aca="false">G120*H120*0.05</f>
        <v>27.124</v>
      </c>
      <c r="J120" s="16" t="n">
        <f aca="false">G120*H120*1.05</f>
        <v>569.604</v>
      </c>
      <c r="K120" s="17" t="n">
        <v>43477</v>
      </c>
      <c r="L120" s="14" t="s">
        <v>288</v>
      </c>
      <c r="M120" s="14" t="s">
        <v>30</v>
      </c>
      <c r="N120" s="16" t="n">
        <f aca="false">G120*H120</f>
        <v>542.48</v>
      </c>
      <c r="O120" s="18" t="n">
        <v>4.761904762</v>
      </c>
      <c r="P120" s="16" t="n">
        <f aca="false">I120</f>
        <v>27.124</v>
      </c>
      <c r="Q120" s="19" t="n">
        <v>9.1</v>
      </c>
      <c r="R120" s="0" t="str">
        <f aca="false">TEXT(K120,"mmm yyyy")</f>
        <v>Jan 2019</v>
      </c>
      <c r="S120" s="14" t="n">
        <f aca="false">HOUR(TIMEVALUE(L120))</f>
        <v>18</v>
      </c>
      <c r="T120" s="0" t="str">
        <f aca="false">IF(S120&lt;12,"Morning",IF(S120&lt;17,"Afternoon","Evening"))</f>
        <v>Evening</v>
      </c>
      <c r="U120" s="16" t="n">
        <f aca="false">G120*H120*0.05</f>
        <v>27.124</v>
      </c>
    </row>
    <row r="121" customFormat="false" ht="15" hidden="false" customHeight="false" outlineLevel="0" collapsed="false">
      <c r="A121" s="0" t="s">
        <v>289</v>
      </c>
      <c r="B121" s="0" t="s">
        <v>29</v>
      </c>
      <c r="C121" s="0" t="s">
        <v>56</v>
      </c>
      <c r="D121" s="0" t="s">
        <v>21</v>
      </c>
      <c r="E121" s="0" t="s">
        <v>60</v>
      </c>
      <c r="F121" s="0" t="s">
        <v>36</v>
      </c>
      <c r="G121" s="16" t="n">
        <v>32.03</v>
      </c>
      <c r="H121" s="0" t="n">
        <v>4</v>
      </c>
      <c r="I121" s="16" t="n">
        <f aca="false">G121*H121*0.05</f>
        <v>6.406</v>
      </c>
      <c r="J121" s="16" t="n">
        <f aca="false">G121*H121*1.05</f>
        <v>134.526</v>
      </c>
      <c r="K121" s="17" t="n">
        <v>43477</v>
      </c>
      <c r="L121" s="14" t="s">
        <v>290</v>
      </c>
      <c r="M121" s="14" t="s">
        <v>30</v>
      </c>
      <c r="N121" s="16" t="n">
        <f aca="false">G121*H121</f>
        <v>128.12</v>
      </c>
      <c r="O121" s="18" t="n">
        <v>4.761904762</v>
      </c>
      <c r="P121" s="16" t="n">
        <f aca="false">I121</f>
        <v>6.406</v>
      </c>
      <c r="Q121" s="19" t="n">
        <v>4.5</v>
      </c>
      <c r="R121" s="0" t="str">
        <f aca="false">TEXT(K121,"mmm yyyy")</f>
        <v>Jan 2019</v>
      </c>
      <c r="S121" s="14" t="n">
        <f aca="false">HOUR(TIMEVALUE(L121))</f>
        <v>13</v>
      </c>
      <c r="T121" s="0" t="str">
        <f aca="false">IF(S121&lt;12,"Morning",IF(S121&lt;17,"Afternoon","Evening"))</f>
        <v>Afternoon</v>
      </c>
      <c r="U121" s="16" t="n">
        <f aca="false">G121*H121*0.05</f>
        <v>6.406</v>
      </c>
    </row>
    <row r="122" customFormat="false" ht="15" hidden="false" customHeight="false" outlineLevel="0" collapsed="false">
      <c r="A122" s="0" t="s">
        <v>291</v>
      </c>
      <c r="B122" s="0" t="s">
        <v>29</v>
      </c>
      <c r="C122" s="0" t="s">
        <v>56</v>
      </c>
      <c r="D122" s="0" t="s">
        <v>21</v>
      </c>
      <c r="E122" s="0" t="s">
        <v>60</v>
      </c>
      <c r="F122" s="0" t="s">
        <v>36</v>
      </c>
      <c r="G122" s="16" t="n">
        <v>75.79</v>
      </c>
      <c r="H122" s="0" t="n">
        <v>3</v>
      </c>
      <c r="I122" s="16" t="n">
        <f aca="false">G122*H122*0.05</f>
        <v>11.3685</v>
      </c>
      <c r="J122" s="16" t="n">
        <f aca="false">G122*H122*1.05</f>
        <v>238.7385</v>
      </c>
      <c r="K122" s="17" t="n">
        <v>43477</v>
      </c>
      <c r="L122" s="14" t="s">
        <v>81</v>
      </c>
      <c r="M122" s="14" t="s">
        <v>30</v>
      </c>
      <c r="N122" s="16" t="n">
        <f aca="false">G122*H122</f>
        <v>227.37</v>
      </c>
      <c r="O122" s="18" t="n">
        <v>4.761904762</v>
      </c>
      <c r="P122" s="16" t="n">
        <f aca="false">I122</f>
        <v>11.3685</v>
      </c>
      <c r="Q122" s="19" t="n">
        <v>9.1</v>
      </c>
      <c r="R122" s="0" t="str">
        <f aca="false">TEXT(K122,"mmm yyyy")</f>
        <v>Jan 2019</v>
      </c>
      <c r="S122" s="14" t="n">
        <f aca="false">HOUR(TIMEVALUE(L122))</f>
        <v>16</v>
      </c>
      <c r="T122" s="0" t="str">
        <f aca="false">IF(S122&lt;12,"Morning",IF(S122&lt;17,"Afternoon","Evening"))</f>
        <v>Afternoon</v>
      </c>
      <c r="U122" s="16" t="n">
        <f aca="false">G122*H122*0.05</f>
        <v>11.3685</v>
      </c>
    </row>
    <row r="123" customFormat="false" ht="15" hidden="false" customHeight="false" outlineLevel="0" collapsed="false">
      <c r="A123" s="0" t="s">
        <v>292</v>
      </c>
      <c r="B123" s="0" t="s">
        <v>33</v>
      </c>
      <c r="C123" s="0" t="s">
        <v>65</v>
      </c>
      <c r="D123" s="0" t="s">
        <v>21</v>
      </c>
      <c r="E123" s="0" t="s">
        <v>57</v>
      </c>
      <c r="F123" s="0" t="s">
        <v>37</v>
      </c>
      <c r="G123" s="16" t="n">
        <v>15.63</v>
      </c>
      <c r="H123" s="0" t="n">
        <v>4</v>
      </c>
      <c r="I123" s="16" t="n">
        <f aca="false">G123*H123*0.05</f>
        <v>3.126</v>
      </c>
      <c r="J123" s="16" t="n">
        <f aca="false">G123*H123*1.05</f>
        <v>65.646</v>
      </c>
      <c r="K123" s="17" t="n">
        <v>43477</v>
      </c>
      <c r="L123" s="14" t="s">
        <v>214</v>
      </c>
      <c r="M123" s="14" t="s">
        <v>26</v>
      </c>
      <c r="N123" s="16" t="n">
        <f aca="false">G123*H123</f>
        <v>62.52</v>
      </c>
      <c r="O123" s="18" t="n">
        <v>4.761904762</v>
      </c>
      <c r="P123" s="16" t="n">
        <f aca="false">I123</f>
        <v>3.126</v>
      </c>
      <c r="Q123" s="19" t="n">
        <v>7.2</v>
      </c>
      <c r="R123" s="0" t="str">
        <f aca="false">TEXT(K123,"mmm yyyy")</f>
        <v>Jan 2019</v>
      </c>
      <c r="S123" s="14" t="n">
        <f aca="false">HOUR(TIMEVALUE(L123))</f>
        <v>14</v>
      </c>
      <c r="T123" s="0" t="str">
        <f aca="false">IF(S123&lt;12,"Morning",IF(S123&lt;17,"Afternoon","Evening"))</f>
        <v>Afternoon</v>
      </c>
      <c r="U123" s="16" t="n">
        <f aca="false">G123*H123*0.05</f>
        <v>3.126</v>
      </c>
    </row>
    <row r="124" customFormat="false" ht="15" hidden="false" customHeight="false" outlineLevel="0" collapsed="false">
      <c r="A124" s="0" t="s">
        <v>293</v>
      </c>
      <c r="B124" s="0" t="s">
        <v>25</v>
      </c>
      <c r="C124" s="0" t="s">
        <v>68</v>
      </c>
      <c r="D124" s="0" t="s">
        <v>22</v>
      </c>
      <c r="E124" s="0" t="s">
        <v>57</v>
      </c>
      <c r="F124" s="0" t="s">
        <v>37</v>
      </c>
      <c r="G124" s="16" t="n">
        <v>48.82</v>
      </c>
      <c r="H124" s="0" t="n">
        <v>9</v>
      </c>
      <c r="I124" s="16" t="n">
        <f aca="false">G124*H124*0.05</f>
        <v>21.969</v>
      </c>
      <c r="J124" s="16" t="n">
        <f aca="false">G124*H124*1.05</f>
        <v>461.349</v>
      </c>
      <c r="K124" s="17" t="n">
        <v>43478</v>
      </c>
      <c r="L124" s="14" t="s">
        <v>294</v>
      </c>
      <c r="M124" s="14" t="s">
        <v>30</v>
      </c>
      <c r="N124" s="16" t="n">
        <f aca="false">G124*H124</f>
        <v>439.38</v>
      </c>
      <c r="O124" s="18" t="n">
        <v>4.761904762</v>
      </c>
      <c r="P124" s="16" t="n">
        <f aca="false">I124</f>
        <v>21.969</v>
      </c>
      <c r="Q124" s="19" t="n">
        <v>9.5</v>
      </c>
      <c r="R124" s="0" t="str">
        <f aca="false">TEXT(K124,"mmm yyyy")</f>
        <v>Jan 2019</v>
      </c>
      <c r="S124" s="14" t="n">
        <f aca="false">HOUR(TIMEVALUE(L124))</f>
        <v>14</v>
      </c>
      <c r="T124" s="0" t="str">
        <f aca="false">IF(S124&lt;12,"Morning",IF(S124&lt;17,"Afternoon","Evening"))</f>
        <v>Afternoon</v>
      </c>
      <c r="U124" s="16" t="n">
        <f aca="false">G124*H124*0.05</f>
        <v>21.969</v>
      </c>
    </row>
    <row r="125" customFormat="false" ht="15" hidden="false" customHeight="false" outlineLevel="0" collapsed="false">
      <c r="A125" s="0" t="s">
        <v>295</v>
      </c>
      <c r="B125" s="0" t="s">
        <v>29</v>
      </c>
      <c r="C125" s="0" t="s">
        <v>56</v>
      </c>
      <c r="D125" s="0" t="s">
        <v>21</v>
      </c>
      <c r="E125" s="0" t="s">
        <v>60</v>
      </c>
      <c r="F125" s="0" t="s">
        <v>31</v>
      </c>
      <c r="G125" s="16" t="n">
        <v>18.47</v>
      </c>
      <c r="H125" s="0" t="n">
        <v>3</v>
      </c>
      <c r="I125" s="16" t="n">
        <f aca="false">G125*H125*0.05</f>
        <v>2.7705</v>
      </c>
      <c r="J125" s="16" t="n">
        <f aca="false">G125*H125*1.05</f>
        <v>58.1805</v>
      </c>
      <c r="K125" s="17" t="n">
        <v>43478</v>
      </c>
      <c r="L125" s="14" t="s">
        <v>75</v>
      </c>
      <c r="M125" s="14" t="s">
        <v>30</v>
      </c>
      <c r="N125" s="16" t="n">
        <f aca="false">G125*H125</f>
        <v>55.41</v>
      </c>
      <c r="O125" s="18" t="n">
        <v>4.761904762</v>
      </c>
      <c r="P125" s="16" t="n">
        <f aca="false">I125</f>
        <v>2.7705</v>
      </c>
      <c r="Q125" s="19" t="n">
        <v>4.7</v>
      </c>
      <c r="R125" s="0" t="str">
        <f aca="false">TEXT(K125,"mmm yyyy")</f>
        <v>Jan 2019</v>
      </c>
      <c r="S125" s="14" t="n">
        <f aca="false">HOUR(TIMEVALUE(L125))</f>
        <v>16</v>
      </c>
      <c r="T125" s="0" t="str">
        <f aca="false">IF(S125&lt;12,"Morning",IF(S125&lt;17,"Afternoon","Evening"))</f>
        <v>Afternoon</v>
      </c>
      <c r="U125" s="16" t="n">
        <f aca="false">G125*H125*0.05</f>
        <v>2.7705</v>
      </c>
    </row>
    <row r="126" customFormat="false" ht="15" hidden="false" customHeight="false" outlineLevel="0" collapsed="false">
      <c r="A126" s="0" t="s">
        <v>296</v>
      </c>
      <c r="B126" s="0" t="s">
        <v>29</v>
      </c>
      <c r="C126" s="0" t="s">
        <v>56</v>
      </c>
      <c r="D126" s="0" t="s">
        <v>21</v>
      </c>
      <c r="E126" s="0" t="s">
        <v>60</v>
      </c>
      <c r="F126" s="0" t="s">
        <v>27</v>
      </c>
      <c r="G126" s="16" t="n">
        <v>40.07</v>
      </c>
      <c r="H126" s="0" t="n">
        <v>4</v>
      </c>
      <c r="I126" s="16" t="n">
        <f aca="false">G126*H126*0.05</f>
        <v>8.014</v>
      </c>
      <c r="J126" s="16" t="n">
        <f aca="false">G126*H126*1.05</f>
        <v>168.294</v>
      </c>
      <c r="K126" s="17" t="n">
        <v>43478</v>
      </c>
      <c r="L126" s="14" t="s">
        <v>297</v>
      </c>
      <c r="M126" s="14" t="s">
        <v>30</v>
      </c>
      <c r="N126" s="16" t="n">
        <f aca="false">G126*H126</f>
        <v>160.28</v>
      </c>
      <c r="O126" s="18" t="n">
        <v>4.761904762</v>
      </c>
      <c r="P126" s="16" t="n">
        <f aca="false">I126</f>
        <v>8.014</v>
      </c>
      <c r="Q126" s="19" t="n">
        <v>5.4</v>
      </c>
      <c r="R126" s="0" t="str">
        <f aca="false">TEXT(K126,"mmm yyyy")</f>
        <v>Jan 2019</v>
      </c>
      <c r="S126" s="14" t="n">
        <f aca="false">HOUR(TIMEVALUE(L126))</f>
        <v>13</v>
      </c>
      <c r="T126" s="0" t="str">
        <f aca="false">IF(S126&lt;12,"Morning",IF(S126&lt;17,"Afternoon","Evening"))</f>
        <v>Afternoon</v>
      </c>
      <c r="U126" s="16" t="n">
        <f aca="false">G126*H126*0.05</f>
        <v>8.014</v>
      </c>
    </row>
    <row r="127" customFormat="false" ht="15" hidden="false" customHeight="false" outlineLevel="0" collapsed="false">
      <c r="A127" s="0" t="s">
        <v>298</v>
      </c>
      <c r="B127" s="0" t="s">
        <v>29</v>
      </c>
      <c r="C127" s="0" t="s">
        <v>56</v>
      </c>
      <c r="D127" s="0" t="s">
        <v>22</v>
      </c>
      <c r="E127" s="0" t="s">
        <v>57</v>
      </c>
      <c r="F127" s="0" t="s">
        <v>23</v>
      </c>
      <c r="G127" s="16" t="n">
        <v>63.97</v>
      </c>
      <c r="H127" s="0" t="n">
        <v>2</v>
      </c>
      <c r="I127" s="16" t="n">
        <f aca="false">G127*H127*0.05</f>
        <v>6.397</v>
      </c>
      <c r="J127" s="16" t="n">
        <f aca="false">G127*H127*1.05</f>
        <v>134.337</v>
      </c>
      <c r="K127" s="17" t="n">
        <v>43478</v>
      </c>
      <c r="L127" s="14" t="s">
        <v>299</v>
      </c>
      <c r="M127" s="14" t="s">
        <v>34</v>
      </c>
      <c r="N127" s="16" t="n">
        <f aca="false">G127*H127</f>
        <v>127.94</v>
      </c>
      <c r="O127" s="18" t="n">
        <v>4.761904762</v>
      </c>
      <c r="P127" s="16" t="n">
        <f aca="false">I127</f>
        <v>6.397</v>
      </c>
      <c r="Q127" s="19" t="n">
        <v>6.5</v>
      </c>
      <c r="R127" s="0" t="str">
        <f aca="false">TEXT(K127,"mmm yyyy")</f>
        <v>Jan 2019</v>
      </c>
      <c r="S127" s="14" t="n">
        <f aca="false">HOUR(TIMEVALUE(L127))</f>
        <v>14</v>
      </c>
      <c r="T127" s="0" t="str">
        <f aca="false">IF(S127&lt;12,"Morning",IF(S127&lt;17,"Afternoon","Evening"))</f>
        <v>Afternoon</v>
      </c>
      <c r="U127" s="16" t="n">
        <f aca="false">G127*H127*0.05</f>
        <v>6.397</v>
      </c>
    </row>
    <row r="128" customFormat="false" ht="15" hidden="false" customHeight="false" outlineLevel="0" collapsed="false">
      <c r="A128" s="0" t="s">
        <v>300</v>
      </c>
      <c r="B128" s="0" t="s">
        <v>25</v>
      </c>
      <c r="C128" s="0" t="s">
        <v>68</v>
      </c>
      <c r="D128" s="0" t="s">
        <v>21</v>
      </c>
      <c r="E128" s="0" t="s">
        <v>60</v>
      </c>
      <c r="F128" s="0" t="s">
        <v>35</v>
      </c>
      <c r="G128" s="16" t="n">
        <v>50.6</v>
      </c>
      <c r="H128" s="0" t="n">
        <v>2</v>
      </c>
      <c r="I128" s="16" t="n">
        <f aca="false">G128*H128*0.05</f>
        <v>5.06</v>
      </c>
      <c r="J128" s="16" t="n">
        <f aca="false">G128*H128*1.05</f>
        <v>106.26</v>
      </c>
      <c r="K128" s="17" t="n">
        <v>43478</v>
      </c>
      <c r="L128" s="14" t="s">
        <v>301</v>
      </c>
      <c r="M128" s="14" t="s">
        <v>34</v>
      </c>
      <c r="N128" s="16" t="n">
        <f aca="false">G128*H128</f>
        <v>101.2</v>
      </c>
      <c r="O128" s="18" t="n">
        <v>4.761904762</v>
      </c>
      <c r="P128" s="16" t="n">
        <f aca="false">I128</f>
        <v>5.06</v>
      </c>
      <c r="Q128" s="19" t="n">
        <v>6.1</v>
      </c>
      <c r="R128" s="0" t="str">
        <f aca="false">TEXT(K128,"mmm yyyy")</f>
        <v>Jan 2019</v>
      </c>
      <c r="S128" s="14" t="n">
        <f aca="false">HOUR(TIMEVALUE(L128))</f>
        <v>18</v>
      </c>
      <c r="T128" s="0" t="str">
        <f aca="false">IF(S128&lt;12,"Morning",IF(S128&lt;17,"Afternoon","Evening"))</f>
        <v>Evening</v>
      </c>
      <c r="U128" s="16" t="n">
        <f aca="false">G128*H128*0.05</f>
        <v>5.06</v>
      </c>
    </row>
    <row r="129" customFormat="false" ht="15" hidden="false" customHeight="false" outlineLevel="0" collapsed="false">
      <c r="A129" s="0" t="s">
        <v>302</v>
      </c>
      <c r="B129" s="0" t="s">
        <v>25</v>
      </c>
      <c r="C129" s="0" t="s">
        <v>68</v>
      </c>
      <c r="D129" s="0" t="s">
        <v>21</v>
      </c>
      <c r="E129" s="0" t="s">
        <v>60</v>
      </c>
      <c r="F129" s="0" t="s">
        <v>35</v>
      </c>
      <c r="G129" s="16" t="n">
        <v>72.99</v>
      </c>
      <c r="H129" s="0" t="n">
        <v>8</v>
      </c>
      <c r="I129" s="16" t="n">
        <f aca="false">G129*H129*0.05</f>
        <v>29.196</v>
      </c>
      <c r="J129" s="16" t="n">
        <f aca="false">G129*H129*1.05</f>
        <v>613.116</v>
      </c>
      <c r="K129" s="17" t="n">
        <v>43478</v>
      </c>
      <c r="L129" s="14" t="s">
        <v>303</v>
      </c>
      <c r="M129" s="14" t="s">
        <v>34</v>
      </c>
      <c r="N129" s="16" t="n">
        <f aca="false">G129*H129</f>
        <v>583.92</v>
      </c>
      <c r="O129" s="18" t="n">
        <v>4.761904762</v>
      </c>
      <c r="P129" s="16" t="n">
        <f aca="false">I129</f>
        <v>29.196</v>
      </c>
      <c r="Q129" s="19" t="n">
        <v>8.9</v>
      </c>
      <c r="R129" s="0" t="str">
        <f aca="false">TEXT(K129,"mmm yyyy")</f>
        <v>Jan 2019</v>
      </c>
      <c r="S129" s="14" t="n">
        <f aca="false">HOUR(TIMEVALUE(L129))</f>
        <v>15</v>
      </c>
      <c r="T129" s="0" t="str">
        <f aca="false">IF(S129&lt;12,"Morning",IF(S129&lt;17,"Afternoon","Evening"))</f>
        <v>Afternoon</v>
      </c>
      <c r="U129" s="16" t="n">
        <f aca="false">G129*H129*0.05</f>
        <v>29.196</v>
      </c>
    </row>
    <row r="130" customFormat="false" ht="15" hidden="false" customHeight="false" outlineLevel="0" collapsed="false">
      <c r="A130" s="0" t="s">
        <v>304</v>
      </c>
      <c r="B130" s="0" t="s">
        <v>29</v>
      </c>
      <c r="C130" s="0" t="s">
        <v>56</v>
      </c>
      <c r="D130" s="0" t="s">
        <v>21</v>
      </c>
      <c r="E130" s="0" t="s">
        <v>57</v>
      </c>
      <c r="F130" s="0" t="s">
        <v>37</v>
      </c>
      <c r="G130" s="16" t="n">
        <v>87.31</v>
      </c>
      <c r="H130" s="0" t="n">
        <v>2</v>
      </c>
      <c r="I130" s="16" t="n">
        <f aca="false">G130*H130*0.05</f>
        <v>8.731</v>
      </c>
      <c r="J130" s="16" t="n">
        <f aca="false">G130*H130*1.05</f>
        <v>183.351</v>
      </c>
      <c r="K130" s="17" t="n">
        <v>43478</v>
      </c>
      <c r="L130" s="14" t="s">
        <v>180</v>
      </c>
      <c r="M130" s="14" t="s">
        <v>30</v>
      </c>
      <c r="N130" s="16" t="n">
        <f aca="false">G130*H130</f>
        <v>174.62</v>
      </c>
      <c r="O130" s="18" t="n">
        <v>4.761904762</v>
      </c>
      <c r="P130" s="16" t="n">
        <f aca="false">I130</f>
        <v>8.731</v>
      </c>
      <c r="Q130" s="19" t="n">
        <v>6.1</v>
      </c>
      <c r="R130" s="0" t="str">
        <f aca="false">TEXT(K130,"mmm yyyy")</f>
        <v>Jan 2019</v>
      </c>
      <c r="S130" s="14" t="n">
        <f aca="false">HOUR(TIMEVALUE(L130))</f>
        <v>15</v>
      </c>
      <c r="T130" s="0" t="str">
        <f aca="false">IF(S130&lt;12,"Morning",IF(S130&lt;17,"Afternoon","Evening"))</f>
        <v>Afternoon</v>
      </c>
      <c r="U130" s="16" t="n">
        <f aca="false">G130*H130*0.05</f>
        <v>8.731</v>
      </c>
    </row>
    <row r="131" customFormat="false" ht="15" hidden="false" customHeight="false" outlineLevel="0" collapsed="false">
      <c r="A131" s="0" t="s">
        <v>305</v>
      </c>
      <c r="B131" s="0" t="s">
        <v>29</v>
      </c>
      <c r="C131" s="0" t="s">
        <v>56</v>
      </c>
      <c r="D131" s="0" t="s">
        <v>21</v>
      </c>
      <c r="E131" s="0" t="s">
        <v>57</v>
      </c>
      <c r="F131" s="0" t="s">
        <v>27</v>
      </c>
      <c r="G131" s="16" t="n">
        <v>64.99</v>
      </c>
      <c r="H131" s="0" t="n">
        <v>4</v>
      </c>
      <c r="I131" s="16" t="n">
        <f aca="false">G131*H131*0.05</f>
        <v>12.998</v>
      </c>
      <c r="J131" s="16" t="n">
        <f aca="false">G131*H131*1.05</f>
        <v>272.958</v>
      </c>
      <c r="K131" s="17" t="n">
        <v>43478</v>
      </c>
      <c r="L131" s="14" t="s">
        <v>306</v>
      </c>
      <c r="M131" s="14" t="s">
        <v>34</v>
      </c>
      <c r="N131" s="16" t="n">
        <f aca="false">G131*H131</f>
        <v>259.96</v>
      </c>
      <c r="O131" s="18" t="n">
        <v>4.761904762</v>
      </c>
      <c r="P131" s="16" t="n">
        <f aca="false">I131</f>
        <v>12.998</v>
      </c>
      <c r="Q131" s="19" t="n">
        <v>8.5</v>
      </c>
      <c r="R131" s="0" t="str">
        <f aca="false">TEXT(K131,"mmm yyyy")</f>
        <v>Jan 2019</v>
      </c>
      <c r="S131" s="14" t="n">
        <f aca="false">HOUR(TIMEVALUE(L131))</f>
        <v>16</v>
      </c>
      <c r="T131" s="0" t="str">
        <f aca="false">IF(S131&lt;12,"Morning",IF(S131&lt;17,"Afternoon","Evening"))</f>
        <v>Afternoon</v>
      </c>
      <c r="U131" s="16" t="n">
        <f aca="false">G131*H131*0.05</f>
        <v>12.998</v>
      </c>
    </row>
    <row r="132" customFormat="false" ht="15" hidden="false" customHeight="false" outlineLevel="0" collapsed="false">
      <c r="A132" s="0" t="s">
        <v>307</v>
      </c>
      <c r="B132" s="0" t="s">
        <v>33</v>
      </c>
      <c r="C132" s="0" t="s">
        <v>65</v>
      </c>
      <c r="D132" s="0" t="s">
        <v>22</v>
      </c>
      <c r="E132" s="0" t="s">
        <v>57</v>
      </c>
      <c r="F132" s="0" t="s">
        <v>27</v>
      </c>
      <c r="G132" s="16" t="n">
        <v>64.79</v>
      </c>
      <c r="H132" s="0" t="n">
        <v>7</v>
      </c>
      <c r="I132" s="16" t="n">
        <f aca="false">G132*H132*0.05</f>
        <v>22.6765</v>
      </c>
      <c r="J132" s="16" t="n">
        <f aca="false">G132*H132*1.05</f>
        <v>476.2065</v>
      </c>
      <c r="K132" s="17" t="n">
        <v>43478</v>
      </c>
      <c r="L132" s="14" t="s">
        <v>308</v>
      </c>
      <c r="M132" s="14" t="s">
        <v>34</v>
      </c>
      <c r="N132" s="16" t="n">
        <f aca="false">G132*H132</f>
        <v>453.53</v>
      </c>
      <c r="O132" s="18" t="n">
        <v>4.761904762</v>
      </c>
      <c r="P132" s="16" t="n">
        <f aca="false">I132</f>
        <v>22.6765</v>
      </c>
      <c r="Q132" s="19" t="n">
        <v>9.8</v>
      </c>
      <c r="R132" s="0" t="str">
        <f aca="false">TEXT(K132,"mmm yyyy")</f>
        <v>Jan 2019</v>
      </c>
      <c r="S132" s="14" t="n">
        <f aca="false">HOUR(TIMEVALUE(L132))</f>
        <v>12</v>
      </c>
      <c r="T132" s="0" t="str">
        <f aca="false">IF(S132&lt;12,"Morning",IF(S132&lt;17,"Afternoon","Evening"))</f>
        <v>Afternoon</v>
      </c>
      <c r="U132" s="16" t="n">
        <f aca="false">G132*H132*0.05</f>
        <v>22.6765</v>
      </c>
    </row>
    <row r="133" customFormat="false" ht="15" hidden="false" customHeight="false" outlineLevel="0" collapsed="false">
      <c r="A133" s="0" t="s">
        <v>309</v>
      </c>
      <c r="B133" s="0" t="s">
        <v>25</v>
      </c>
      <c r="C133" s="0" t="s">
        <v>68</v>
      </c>
      <c r="D133" s="0" t="s">
        <v>21</v>
      </c>
      <c r="E133" s="0" t="s">
        <v>57</v>
      </c>
      <c r="F133" s="0" t="s">
        <v>35</v>
      </c>
      <c r="G133" s="16" t="n">
        <v>72.65</v>
      </c>
      <c r="H133" s="0" t="n">
        <v>8</v>
      </c>
      <c r="I133" s="16" t="n">
        <f aca="false">G133*H133*0.05</f>
        <v>29.06</v>
      </c>
      <c r="J133" s="16" t="n">
        <f aca="false">G133*H133*1.05</f>
        <v>610.26</v>
      </c>
      <c r="K133" s="17" t="n">
        <v>43479</v>
      </c>
      <c r="L133" s="14" t="s">
        <v>310</v>
      </c>
      <c r="M133" s="14" t="s">
        <v>30</v>
      </c>
      <c r="N133" s="16" t="n">
        <f aca="false">G133*H133</f>
        <v>581.2</v>
      </c>
      <c r="O133" s="18" t="n">
        <v>4.761904762</v>
      </c>
      <c r="P133" s="16" t="n">
        <f aca="false">I133</f>
        <v>29.06</v>
      </c>
      <c r="Q133" s="19" t="n">
        <v>7.5</v>
      </c>
      <c r="R133" s="0" t="str">
        <f aca="false">TEXT(K133,"mmm yyyy")</f>
        <v>Jan 2019</v>
      </c>
      <c r="S133" s="14" t="n">
        <f aca="false">HOUR(TIMEVALUE(L133))</f>
        <v>12</v>
      </c>
      <c r="T133" s="0" t="str">
        <f aca="false">IF(S133&lt;12,"Morning",IF(S133&lt;17,"Afternoon","Evening"))</f>
        <v>Afternoon</v>
      </c>
      <c r="U133" s="16" t="n">
        <f aca="false">G133*H133*0.05</f>
        <v>29.06</v>
      </c>
    </row>
    <row r="134" customFormat="false" ht="15" hidden="false" customHeight="false" outlineLevel="0" collapsed="false">
      <c r="A134" s="0" t="s">
        <v>311</v>
      </c>
      <c r="B134" s="0" t="s">
        <v>33</v>
      </c>
      <c r="C134" s="0" t="s">
        <v>65</v>
      </c>
      <c r="D134" s="0" t="s">
        <v>22</v>
      </c>
      <c r="E134" s="0" t="s">
        <v>60</v>
      </c>
      <c r="F134" s="0" t="s">
        <v>31</v>
      </c>
      <c r="G134" s="16" t="n">
        <v>93.1</v>
      </c>
      <c r="H134" s="0" t="n">
        <v>1</v>
      </c>
      <c r="I134" s="16" t="n">
        <f aca="false">G134*H134*0.05</f>
        <v>4.655</v>
      </c>
      <c r="J134" s="16" t="n">
        <f aca="false">G134*H134*1.05</f>
        <v>97.755</v>
      </c>
      <c r="K134" s="17" t="n">
        <v>43479</v>
      </c>
      <c r="L134" s="14" t="s">
        <v>312</v>
      </c>
      <c r="M134" s="14" t="s">
        <v>26</v>
      </c>
      <c r="N134" s="16" t="n">
        <f aca="false">G134*H134</f>
        <v>93.1</v>
      </c>
      <c r="O134" s="18" t="n">
        <v>4.761904762</v>
      </c>
      <c r="P134" s="16" t="n">
        <f aca="false">I134</f>
        <v>4.655</v>
      </c>
      <c r="Q134" s="19" t="n">
        <v>7.6</v>
      </c>
      <c r="R134" s="0" t="str">
        <f aca="false">TEXT(K134,"mmm yyyy")</f>
        <v>Jan 2019</v>
      </c>
      <c r="S134" s="14" t="n">
        <f aca="false">HOUR(TIMEVALUE(L134))</f>
        <v>18</v>
      </c>
      <c r="T134" s="0" t="str">
        <f aca="false">IF(S134&lt;12,"Morning",IF(S134&lt;17,"Afternoon","Evening"))</f>
        <v>Evening</v>
      </c>
      <c r="U134" s="16" t="n">
        <f aca="false">G134*H134*0.05</f>
        <v>4.655</v>
      </c>
    </row>
    <row r="135" customFormat="false" ht="15" hidden="false" customHeight="false" outlineLevel="0" collapsed="false">
      <c r="A135" s="0" t="s">
        <v>313</v>
      </c>
      <c r="B135" s="0" t="s">
        <v>25</v>
      </c>
      <c r="C135" s="0" t="s">
        <v>68</v>
      </c>
      <c r="D135" s="0" t="s">
        <v>21</v>
      </c>
      <c r="E135" s="0" t="s">
        <v>57</v>
      </c>
      <c r="F135" s="0" t="s">
        <v>27</v>
      </c>
      <c r="G135" s="16" t="n">
        <v>19.05</v>
      </c>
      <c r="H135" s="0" t="n">
        <v>8</v>
      </c>
      <c r="I135" s="16" t="n">
        <f aca="false">G135*H135*0.05</f>
        <v>7.62</v>
      </c>
      <c r="J135" s="16" t="n">
        <f aca="false">G135*H135*1.05</f>
        <v>160.02</v>
      </c>
      <c r="K135" s="17" t="n">
        <v>43479</v>
      </c>
      <c r="L135" s="14" t="s">
        <v>314</v>
      </c>
      <c r="M135" s="14" t="s">
        <v>34</v>
      </c>
      <c r="N135" s="16" t="n">
        <f aca="false">G135*H135</f>
        <v>152.4</v>
      </c>
      <c r="O135" s="18" t="n">
        <v>4.761904762</v>
      </c>
      <c r="P135" s="16" t="n">
        <f aca="false">I135</f>
        <v>7.62</v>
      </c>
      <c r="Q135" s="19" t="n">
        <v>4.3</v>
      </c>
      <c r="R135" s="0" t="str">
        <f aca="false">TEXT(K135,"mmm yyyy")</f>
        <v>Jan 2019</v>
      </c>
      <c r="S135" s="14" t="n">
        <f aca="false">HOUR(TIMEVALUE(L135))</f>
        <v>14</v>
      </c>
      <c r="T135" s="0" t="str">
        <f aca="false">IF(S135&lt;12,"Morning",IF(S135&lt;17,"Afternoon","Evening"))</f>
        <v>Afternoon</v>
      </c>
      <c r="U135" s="16" t="n">
        <f aca="false">G135*H135*0.05</f>
        <v>7.62</v>
      </c>
    </row>
    <row r="136" customFormat="false" ht="15" hidden="false" customHeight="false" outlineLevel="0" collapsed="false">
      <c r="A136" s="0" t="s">
        <v>315</v>
      </c>
      <c r="B136" s="0" t="s">
        <v>29</v>
      </c>
      <c r="C136" s="0" t="s">
        <v>56</v>
      </c>
      <c r="D136" s="0" t="s">
        <v>21</v>
      </c>
      <c r="E136" s="0" t="s">
        <v>57</v>
      </c>
      <c r="F136" s="0" t="s">
        <v>31</v>
      </c>
      <c r="G136" s="16" t="n">
        <v>89.8</v>
      </c>
      <c r="H136" s="0" t="n">
        <v>1</v>
      </c>
      <c r="I136" s="16" t="n">
        <f aca="false">G136*H136*0.05</f>
        <v>4.49</v>
      </c>
      <c r="J136" s="16" t="n">
        <f aca="false">G136*H136*1.05</f>
        <v>94.29</v>
      </c>
      <c r="K136" s="17" t="n">
        <v>43479</v>
      </c>
      <c r="L136" s="14" t="s">
        <v>316</v>
      </c>
      <c r="M136" s="14" t="s">
        <v>26</v>
      </c>
      <c r="N136" s="16" t="n">
        <f aca="false">G136*H136</f>
        <v>89.8</v>
      </c>
      <c r="O136" s="18" t="n">
        <v>4.761904762</v>
      </c>
      <c r="P136" s="16" t="n">
        <f aca="false">I136</f>
        <v>4.49</v>
      </c>
      <c r="Q136" s="19" t="n">
        <v>4.5</v>
      </c>
      <c r="R136" s="0" t="str">
        <f aca="false">TEXT(K136,"mmm yyyy")</f>
        <v>Jan 2019</v>
      </c>
      <c r="S136" s="14" t="n">
        <f aca="false">HOUR(TIMEVALUE(L136))</f>
        <v>13</v>
      </c>
      <c r="T136" s="0" t="str">
        <f aca="false">IF(S136&lt;12,"Morning",IF(S136&lt;17,"Afternoon","Evening"))</f>
        <v>Afternoon</v>
      </c>
      <c r="U136" s="16" t="n">
        <f aca="false">G136*H136*0.05</f>
        <v>4.49</v>
      </c>
    </row>
    <row r="137" customFormat="false" ht="15" hidden="false" customHeight="false" outlineLevel="0" collapsed="false">
      <c r="A137" s="0" t="s">
        <v>317</v>
      </c>
      <c r="B137" s="0" t="s">
        <v>25</v>
      </c>
      <c r="C137" s="0" t="s">
        <v>68</v>
      </c>
      <c r="D137" s="0" t="s">
        <v>22</v>
      </c>
      <c r="E137" s="0" t="s">
        <v>57</v>
      </c>
      <c r="F137" s="0" t="s">
        <v>31</v>
      </c>
      <c r="G137" s="16" t="n">
        <v>56.11</v>
      </c>
      <c r="H137" s="0" t="n">
        <v>4</v>
      </c>
      <c r="I137" s="16" t="n">
        <f aca="false">G137*H137*0.05</f>
        <v>11.222</v>
      </c>
      <c r="J137" s="16" t="n">
        <f aca="false">G137*H137*1.05</f>
        <v>235.662</v>
      </c>
      <c r="K137" s="17" t="n">
        <v>43479</v>
      </c>
      <c r="L137" s="14" t="s">
        <v>318</v>
      </c>
      <c r="M137" s="14" t="s">
        <v>26</v>
      </c>
      <c r="N137" s="16" t="n">
        <f aca="false">G137*H137</f>
        <v>224.44</v>
      </c>
      <c r="O137" s="18" t="n">
        <v>4.761904762</v>
      </c>
      <c r="P137" s="16" t="n">
        <f aca="false">I137</f>
        <v>11.222</v>
      </c>
      <c r="Q137" s="19" t="n">
        <v>6.7</v>
      </c>
      <c r="R137" s="0" t="str">
        <f aca="false">TEXT(K137,"mmm yyyy")</f>
        <v>Jan 2019</v>
      </c>
      <c r="S137" s="14" t="n">
        <f aca="false">HOUR(TIMEVALUE(L137))</f>
        <v>15</v>
      </c>
      <c r="T137" s="0" t="str">
        <f aca="false">IF(S137&lt;12,"Morning",IF(S137&lt;17,"Afternoon","Evening"))</f>
        <v>Afternoon</v>
      </c>
      <c r="U137" s="16" t="n">
        <f aca="false">G137*H137*0.05</f>
        <v>11.222</v>
      </c>
    </row>
    <row r="138" customFormat="false" ht="15" hidden="false" customHeight="false" outlineLevel="0" collapsed="false">
      <c r="A138" s="0" t="s">
        <v>319</v>
      </c>
      <c r="B138" s="0" t="s">
        <v>25</v>
      </c>
      <c r="C138" s="0" t="s">
        <v>68</v>
      </c>
      <c r="D138" s="0" t="s">
        <v>22</v>
      </c>
      <c r="E138" s="0" t="s">
        <v>60</v>
      </c>
      <c r="F138" s="0" t="s">
        <v>35</v>
      </c>
      <c r="G138" s="16" t="n">
        <v>13.27</v>
      </c>
      <c r="H138" s="0" t="n">
        <v>3</v>
      </c>
      <c r="I138" s="16" t="n">
        <f aca="false">G138*H138*0.05</f>
        <v>1.9905</v>
      </c>
      <c r="J138" s="16" t="n">
        <f aca="false">G138*H138*1.05</f>
        <v>41.8005</v>
      </c>
      <c r="K138" s="17" t="n">
        <v>43479</v>
      </c>
      <c r="L138" s="14" t="s">
        <v>81</v>
      </c>
      <c r="M138" s="14" t="s">
        <v>30</v>
      </c>
      <c r="N138" s="16" t="n">
        <f aca="false">G138*H138</f>
        <v>39.81</v>
      </c>
      <c r="O138" s="18" t="n">
        <v>4.761904762</v>
      </c>
      <c r="P138" s="16" t="n">
        <f aca="false">I138</f>
        <v>1.9905</v>
      </c>
      <c r="Q138" s="19" t="n">
        <v>7.4</v>
      </c>
      <c r="R138" s="0" t="str">
        <f aca="false">TEXT(K138,"mmm yyyy")</f>
        <v>Jan 2019</v>
      </c>
      <c r="S138" s="14" t="n">
        <f aca="false">HOUR(TIMEVALUE(L138))</f>
        <v>16</v>
      </c>
      <c r="T138" s="0" t="str">
        <f aca="false">IF(S138&lt;12,"Morning",IF(S138&lt;17,"Afternoon","Evening"))</f>
        <v>Afternoon</v>
      </c>
      <c r="U138" s="16" t="n">
        <f aca="false">G138*H138*0.05</f>
        <v>1.9905</v>
      </c>
    </row>
    <row r="139" customFormat="false" ht="15" hidden="false" customHeight="false" outlineLevel="0" collapsed="false">
      <c r="A139" s="0" t="s">
        <v>320</v>
      </c>
      <c r="B139" s="0" t="s">
        <v>29</v>
      </c>
      <c r="C139" s="0" t="s">
        <v>56</v>
      </c>
      <c r="D139" s="0" t="s">
        <v>21</v>
      </c>
      <c r="E139" s="0" t="s">
        <v>57</v>
      </c>
      <c r="F139" s="0" t="s">
        <v>27</v>
      </c>
      <c r="G139" s="16" t="n">
        <v>11.01</v>
      </c>
      <c r="H139" s="0" t="n">
        <v>5</v>
      </c>
      <c r="I139" s="16" t="n">
        <f aca="false">G139*H139*0.05</f>
        <v>2.7525</v>
      </c>
      <c r="J139" s="16" t="n">
        <f aca="false">G139*H139*1.05</f>
        <v>57.8025</v>
      </c>
      <c r="K139" s="17" t="n">
        <v>43479</v>
      </c>
      <c r="L139" s="14" t="s">
        <v>321</v>
      </c>
      <c r="M139" s="14" t="s">
        <v>34</v>
      </c>
      <c r="N139" s="16" t="n">
        <f aca="false">G139*H139</f>
        <v>55.05</v>
      </c>
      <c r="O139" s="18" t="n">
        <v>4.761904762</v>
      </c>
      <c r="P139" s="16" t="n">
        <f aca="false">I139</f>
        <v>2.7525</v>
      </c>
      <c r="Q139" s="19" t="n">
        <v>7.5</v>
      </c>
      <c r="R139" s="0" t="str">
        <f aca="false">TEXT(K139,"mmm yyyy")</f>
        <v>Jan 2019</v>
      </c>
      <c r="S139" s="14" t="n">
        <f aca="false">HOUR(TIMEVALUE(L139))</f>
        <v>18</v>
      </c>
      <c r="T139" s="0" t="str">
        <f aca="false">IF(S139&lt;12,"Morning",IF(S139&lt;17,"Afternoon","Evening"))</f>
        <v>Evening</v>
      </c>
      <c r="U139" s="16" t="n">
        <f aca="false">G139*H139*0.05</f>
        <v>2.7525</v>
      </c>
    </row>
    <row r="140" customFormat="false" ht="15" hidden="false" customHeight="false" outlineLevel="0" collapsed="false">
      <c r="A140" s="0" t="s">
        <v>322</v>
      </c>
      <c r="B140" s="0" t="s">
        <v>29</v>
      </c>
      <c r="C140" s="0" t="s">
        <v>56</v>
      </c>
      <c r="D140" s="0" t="s">
        <v>21</v>
      </c>
      <c r="E140" s="0" t="s">
        <v>57</v>
      </c>
      <c r="F140" s="0" t="s">
        <v>31</v>
      </c>
      <c r="G140" s="16" t="n">
        <v>55.65</v>
      </c>
      <c r="H140" s="0" t="n">
        <v>3</v>
      </c>
      <c r="I140" s="16" t="n">
        <f aca="false">G140*H140*0.05</f>
        <v>8.3475</v>
      </c>
      <c r="J140" s="16" t="n">
        <f aca="false">G140*H140*1.05</f>
        <v>175.2975</v>
      </c>
      <c r="K140" s="17" t="n">
        <v>43479</v>
      </c>
      <c r="L140" s="14" t="s">
        <v>172</v>
      </c>
      <c r="M140" s="14" t="s">
        <v>34</v>
      </c>
      <c r="N140" s="16" t="n">
        <f aca="false">G140*H140</f>
        <v>166.95</v>
      </c>
      <c r="O140" s="18" t="n">
        <v>4.761904762</v>
      </c>
      <c r="P140" s="16" t="n">
        <f aca="false">I140</f>
        <v>8.3475</v>
      </c>
      <c r="Q140" s="19" t="n">
        <v>6.7</v>
      </c>
      <c r="R140" s="0" t="str">
        <f aca="false">TEXT(K140,"mmm yyyy")</f>
        <v>Jan 2019</v>
      </c>
      <c r="S140" s="14" t="n">
        <f aca="false">HOUR(TIMEVALUE(L140))</f>
        <v>14</v>
      </c>
      <c r="T140" s="0" t="str">
        <f aca="false">IF(S140&lt;12,"Morning",IF(S140&lt;17,"Afternoon","Evening"))</f>
        <v>Afternoon</v>
      </c>
      <c r="U140" s="16" t="n">
        <f aca="false">G140*H140*0.05</f>
        <v>8.3475</v>
      </c>
    </row>
    <row r="141" customFormat="false" ht="15" hidden="false" customHeight="false" outlineLevel="0" collapsed="false">
      <c r="A141" s="0" t="s">
        <v>323</v>
      </c>
      <c r="B141" s="0" t="s">
        <v>29</v>
      </c>
      <c r="C141" s="0" t="s">
        <v>56</v>
      </c>
      <c r="D141" s="0" t="s">
        <v>22</v>
      </c>
      <c r="E141" s="0" t="s">
        <v>60</v>
      </c>
      <c r="F141" s="0" t="s">
        <v>36</v>
      </c>
      <c r="G141" s="16" t="n">
        <v>46.24</v>
      </c>
      <c r="H141" s="0" t="n">
        <v>2</v>
      </c>
      <c r="I141" s="16" t="n">
        <f aca="false">G141*H141*0.05</f>
        <v>4.624</v>
      </c>
      <c r="J141" s="16" t="n">
        <f aca="false">G141*H141*1.05</f>
        <v>97.104</v>
      </c>
      <c r="K141" s="17" t="n">
        <v>43480</v>
      </c>
      <c r="L141" s="14" t="s">
        <v>95</v>
      </c>
      <c r="M141" s="14" t="s">
        <v>30</v>
      </c>
      <c r="N141" s="16" t="n">
        <f aca="false">G141*H141</f>
        <v>92.48</v>
      </c>
      <c r="O141" s="18" t="n">
        <v>4.761904762</v>
      </c>
      <c r="P141" s="16" t="n">
        <f aca="false">I141</f>
        <v>4.624</v>
      </c>
      <c r="Q141" s="19" t="n">
        <v>7.1</v>
      </c>
      <c r="R141" s="0" t="str">
        <f aca="false">TEXT(K141,"mmm yyyy")</f>
        <v>Jan 2019</v>
      </c>
      <c r="S141" s="14" t="n">
        <f aca="false">HOUR(TIMEVALUE(L141))</f>
        <v>19</v>
      </c>
      <c r="T141" s="0" t="str">
        <f aca="false">IF(S141&lt;12,"Morning",IF(S141&lt;17,"Afternoon","Evening"))</f>
        <v>Evening</v>
      </c>
      <c r="U141" s="16" t="n">
        <f aca="false">G141*H141*0.05</f>
        <v>4.624</v>
      </c>
    </row>
    <row r="142" customFormat="false" ht="15" hidden="false" customHeight="false" outlineLevel="0" collapsed="false">
      <c r="A142" s="0" t="s">
        <v>324</v>
      </c>
      <c r="B142" s="0" t="s">
        <v>25</v>
      </c>
      <c r="C142" s="0" t="s">
        <v>68</v>
      </c>
      <c r="D142" s="0" t="s">
        <v>21</v>
      </c>
      <c r="E142" s="0" t="s">
        <v>60</v>
      </c>
      <c r="F142" s="0" t="s">
        <v>37</v>
      </c>
      <c r="G142" s="16" t="n">
        <v>98.8</v>
      </c>
      <c r="H142" s="0" t="n">
        <v>6</v>
      </c>
      <c r="I142" s="16" t="n">
        <f aca="false">G142*H142*0.05</f>
        <v>29.64</v>
      </c>
      <c r="J142" s="16" t="n">
        <f aca="false">G142*H142*1.05</f>
        <v>622.44</v>
      </c>
      <c r="K142" s="17" t="n">
        <v>43480</v>
      </c>
      <c r="L142" s="14" t="s">
        <v>325</v>
      </c>
      <c r="M142" s="14" t="s">
        <v>26</v>
      </c>
      <c r="N142" s="16" t="n">
        <f aca="false">G142*H142</f>
        <v>592.8</v>
      </c>
      <c r="O142" s="18" t="n">
        <v>4.761904762</v>
      </c>
      <c r="P142" s="16" t="n">
        <f aca="false">I142</f>
        <v>29.64</v>
      </c>
      <c r="Q142" s="19" t="n">
        <v>7.6</v>
      </c>
      <c r="R142" s="0" t="str">
        <f aca="false">TEXT(K142,"mmm yyyy")</f>
        <v>Jan 2019</v>
      </c>
      <c r="S142" s="14" t="n">
        <f aca="false">HOUR(TIMEVALUE(L142))</f>
        <v>11</v>
      </c>
      <c r="T142" s="0" t="str">
        <f aca="false">IF(S142&lt;12,"Morning",IF(S142&lt;17,"Afternoon","Evening"))</f>
        <v>Morning</v>
      </c>
      <c r="U142" s="16" t="n">
        <f aca="false">G142*H142*0.05</f>
        <v>29.64</v>
      </c>
    </row>
    <row r="143" customFormat="false" ht="15" hidden="false" customHeight="false" outlineLevel="0" collapsed="false">
      <c r="A143" s="0" t="s">
        <v>326</v>
      </c>
      <c r="B143" s="0" t="s">
        <v>29</v>
      </c>
      <c r="C143" s="0" t="s">
        <v>56</v>
      </c>
      <c r="D143" s="0" t="s">
        <v>21</v>
      </c>
      <c r="E143" s="0" t="s">
        <v>60</v>
      </c>
      <c r="F143" s="0" t="s">
        <v>27</v>
      </c>
      <c r="G143" s="16" t="n">
        <v>19.32</v>
      </c>
      <c r="H143" s="0" t="n">
        <v>9</v>
      </c>
      <c r="I143" s="16" t="n">
        <f aca="false">G143*H143*0.05</f>
        <v>8.694</v>
      </c>
      <c r="J143" s="16" t="n">
        <f aca="false">G143*H143*1.05</f>
        <v>182.574</v>
      </c>
      <c r="K143" s="17" t="n">
        <v>43480</v>
      </c>
      <c r="L143" s="14" t="s">
        <v>327</v>
      </c>
      <c r="M143" s="14" t="s">
        <v>26</v>
      </c>
      <c r="N143" s="16" t="n">
        <f aca="false">G143*H143</f>
        <v>173.88</v>
      </c>
      <c r="O143" s="18" t="n">
        <v>4.761904762</v>
      </c>
      <c r="P143" s="16" t="n">
        <f aca="false">I143</f>
        <v>8.694</v>
      </c>
      <c r="Q143" s="19" t="n">
        <v>6</v>
      </c>
      <c r="R143" s="0" t="str">
        <f aca="false">TEXT(K143,"mmm yyyy")</f>
        <v>Jan 2019</v>
      </c>
      <c r="S143" s="14" t="n">
        <f aca="false">HOUR(TIMEVALUE(L143))</f>
        <v>17</v>
      </c>
      <c r="T143" s="0" t="str">
        <f aca="false">IF(S143&lt;12,"Morning",IF(S143&lt;17,"Afternoon","Evening"))</f>
        <v>Evening</v>
      </c>
      <c r="U143" s="16" t="n">
        <f aca="false">G143*H143*0.05</f>
        <v>8.694</v>
      </c>
    </row>
    <row r="144" customFormat="false" ht="15" hidden="false" customHeight="false" outlineLevel="0" collapsed="false">
      <c r="A144" s="0" t="s">
        <v>328</v>
      </c>
      <c r="B144" s="0" t="s">
        <v>33</v>
      </c>
      <c r="C144" s="0" t="s">
        <v>65</v>
      </c>
      <c r="D144" s="0" t="s">
        <v>22</v>
      </c>
      <c r="E144" s="0" t="s">
        <v>60</v>
      </c>
      <c r="F144" s="0" t="s">
        <v>27</v>
      </c>
      <c r="G144" s="16" t="n">
        <v>96.34</v>
      </c>
      <c r="H144" s="0" t="n">
        <v>3</v>
      </c>
      <c r="I144" s="16" t="n">
        <f aca="false">G144*H144*0.05</f>
        <v>14.451</v>
      </c>
      <c r="J144" s="16" t="n">
        <f aca="false">G144*H144*1.05</f>
        <v>303.471</v>
      </c>
      <c r="K144" s="17" t="n">
        <v>43480</v>
      </c>
      <c r="L144" s="14" t="s">
        <v>329</v>
      </c>
      <c r="M144" s="14" t="s">
        <v>26</v>
      </c>
      <c r="N144" s="16" t="n">
        <f aca="false">G144*H144</f>
        <v>289.02</v>
      </c>
      <c r="O144" s="18" t="n">
        <v>4.761904762</v>
      </c>
      <c r="P144" s="16" t="n">
        <f aca="false">I144</f>
        <v>14.451</v>
      </c>
      <c r="Q144" s="19" t="n">
        <v>5.6</v>
      </c>
      <c r="R144" s="0" t="str">
        <f aca="false">TEXT(K144,"mmm yyyy")</f>
        <v>Jan 2019</v>
      </c>
      <c r="S144" s="14" t="n">
        <f aca="false">HOUR(TIMEVALUE(L144))</f>
        <v>13</v>
      </c>
      <c r="T144" s="0" t="str">
        <f aca="false">IF(S144&lt;12,"Morning",IF(S144&lt;17,"Afternoon","Evening"))</f>
        <v>Afternoon</v>
      </c>
      <c r="U144" s="16" t="n">
        <f aca="false">G144*H144*0.05</f>
        <v>14.451</v>
      </c>
    </row>
    <row r="145" customFormat="false" ht="15" hidden="false" customHeight="false" outlineLevel="0" collapsed="false">
      <c r="A145" s="0" t="s">
        <v>330</v>
      </c>
      <c r="B145" s="0" t="s">
        <v>33</v>
      </c>
      <c r="C145" s="0" t="s">
        <v>65</v>
      </c>
      <c r="D145" s="0" t="s">
        <v>21</v>
      </c>
      <c r="E145" s="0" t="s">
        <v>60</v>
      </c>
      <c r="F145" s="0" t="s">
        <v>23</v>
      </c>
      <c r="G145" s="16" t="n">
        <v>64.22</v>
      </c>
      <c r="H145" s="0" t="n">
        <v>9</v>
      </c>
      <c r="I145" s="16" t="n">
        <f aca="false">G145*H145*0.05</f>
        <v>28.899</v>
      </c>
      <c r="J145" s="16" t="n">
        <f aca="false">G145*H145*1.05</f>
        <v>606.879</v>
      </c>
      <c r="K145" s="17" t="n">
        <v>43480</v>
      </c>
      <c r="L145" s="14" t="s">
        <v>138</v>
      </c>
      <c r="M145" s="14" t="s">
        <v>34</v>
      </c>
      <c r="N145" s="16" t="n">
        <f aca="false">G145*H145</f>
        <v>577.98</v>
      </c>
      <c r="O145" s="18" t="n">
        <v>4.761904762</v>
      </c>
      <c r="P145" s="16" t="n">
        <f aca="false">I145</f>
        <v>28.899</v>
      </c>
      <c r="Q145" s="19" t="n">
        <v>7.1</v>
      </c>
      <c r="R145" s="0" t="str">
        <f aca="false">TEXT(K145,"mmm yyyy")</f>
        <v>Jan 2019</v>
      </c>
      <c r="S145" s="14" t="n">
        <f aca="false">HOUR(TIMEVALUE(L145))</f>
        <v>11</v>
      </c>
      <c r="T145" s="0" t="str">
        <f aca="false">IF(S145&lt;12,"Morning",IF(S145&lt;17,"Afternoon","Evening"))</f>
        <v>Morning</v>
      </c>
      <c r="U145" s="16" t="n">
        <f aca="false">G145*H145*0.05</f>
        <v>28.899</v>
      </c>
    </row>
    <row r="146" customFormat="false" ht="15" hidden="false" customHeight="false" outlineLevel="0" collapsed="false">
      <c r="A146" s="0" t="s">
        <v>331</v>
      </c>
      <c r="B146" s="0" t="s">
        <v>29</v>
      </c>
      <c r="C146" s="0" t="s">
        <v>56</v>
      </c>
      <c r="D146" s="0" t="s">
        <v>22</v>
      </c>
      <c r="E146" s="0" t="s">
        <v>57</v>
      </c>
      <c r="F146" s="0" t="s">
        <v>23</v>
      </c>
      <c r="G146" s="16" t="n">
        <v>83.42</v>
      </c>
      <c r="H146" s="0" t="n">
        <v>2</v>
      </c>
      <c r="I146" s="16" t="n">
        <f aca="false">G146*H146*0.05</f>
        <v>8.342</v>
      </c>
      <c r="J146" s="16" t="n">
        <f aca="false">G146*H146*1.05</f>
        <v>175.182</v>
      </c>
      <c r="K146" s="17" t="n">
        <v>43480</v>
      </c>
      <c r="L146" s="14" t="s">
        <v>332</v>
      </c>
      <c r="M146" s="14" t="s">
        <v>34</v>
      </c>
      <c r="N146" s="16" t="n">
        <f aca="false">G146*H146</f>
        <v>166.84</v>
      </c>
      <c r="O146" s="18" t="n">
        <v>4.761904762</v>
      </c>
      <c r="P146" s="16" t="n">
        <f aca="false">I146</f>
        <v>8.342</v>
      </c>
      <c r="Q146" s="19" t="n">
        <v>7.9</v>
      </c>
      <c r="R146" s="0" t="str">
        <f aca="false">TEXT(K146,"mmm yyyy")</f>
        <v>Jan 2019</v>
      </c>
      <c r="S146" s="14" t="n">
        <f aca="false">HOUR(TIMEVALUE(L146))</f>
        <v>17</v>
      </c>
      <c r="T146" s="0" t="str">
        <f aca="false">IF(S146&lt;12,"Morning",IF(S146&lt;17,"Afternoon","Evening"))</f>
        <v>Evening</v>
      </c>
      <c r="U146" s="16" t="n">
        <f aca="false">G146*H146*0.05</f>
        <v>8.342</v>
      </c>
    </row>
    <row r="147" customFormat="false" ht="15" hidden="false" customHeight="false" outlineLevel="0" collapsed="false">
      <c r="A147" s="0" t="s">
        <v>333</v>
      </c>
      <c r="B147" s="0" t="s">
        <v>29</v>
      </c>
      <c r="C147" s="0" t="s">
        <v>56</v>
      </c>
      <c r="D147" s="0" t="s">
        <v>21</v>
      </c>
      <c r="E147" s="0" t="s">
        <v>60</v>
      </c>
      <c r="F147" s="0" t="s">
        <v>31</v>
      </c>
      <c r="G147" s="16" t="n">
        <v>81.75</v>
      </c>
      <c r="H147" s="0" t="n">
        <v>6</v>
      </c>
      <c r="I147" s="16" t="n">
        <f aca="false">G147*H147*0.05</f>
        <v>24.525</v>
      </c>
      <c r="J147" s="16" t="n">
        <f aca="false">G147*H147*1.05</f>
        <v>515.025</v>
      </c>
      <c r="K147" s="17" t="n">
        <v>43480</v>
      </c>
      <c r="L147" s="14" t="s">
        <v>334</v>
      </c>
      <c r="M147" s="14" t="s">
        <v>34</v>
      </c>
      <c r="N147" s="16" t="n">
        <f aca="false">G147*H147</f>
        <v>490.5</v>
      </c>
      <c r="O147" s="18" t="n">
        <v>4.761904762</v>
      </c>
      <c r="P147" s="16" t="n">
        <f aca="false">I147</f>
        <v>24.525</v>
      </c>
      <c r="Q147" s="19" t="n">
        <v>5.3</v>
      </c>
      <c r="R147" s="0" t="str">
        <f aca="false">TEXT(K147,"mmm yyyy")</f>
        <v>Jan 2019</v>
      </c>
      <c r="S147" s="14" t="n">
        <f aca="false">HOUR(TIMEVALUE(L147))</f>
        <v>17</v>
      </c>
      <c r="T147" s="0" t="str">
        <f aca="false">IF(S147&lt;12,"Morning",IF(S147&lt;17,"Afternoon","Evening"))</f>
        <v>Evening</v>
      </c>
      <c r="U147" s="16" t="n">
        <f aca="false">G147*H147*0.05</f>
        <v>24.525</v>
      </c>
    </row>
    <row r="148" customFormat="false" ht="15" hidden="false" customHeight="false" outlineLevel="0" collapsed="false">
      <c r="A148" s="0" t="s">
        <v>335</v>
      </c>
      <c r="B148" s="0" t="s">
        <v>25</v>
      </c>
      <c r="C148" s="0" t="s">
        <v>68</v>
      </c>
      <c r="D148" s="0" t="s">
        <v>21</v>
      </c>
      <c r="E148" s="0" t="s">
        <v>60</v>
      </c>
      <c r="F148" s="0" t="s">
        <v>23</v>
      </c>
      <c r="G148" s="16" t="n">
        <v>37.11</v>
      </c>
      <c r="H148" s="0" t="n">
        <v>3</v>
      </c>
      <c r="I148" s="16" t="n">
        <f aca="false">G148*H148*0.05</f>
        <v>5.5665</v>
      </c>
      <c r="J148" s="16" t="n">
        <f aca="false">G148*H148*1.05</f>
        <v>116.8965</v>
      </c>
      <c r="K148" s="17" t="n">
        <v>43480</v>
      </c>
      <c r="L148" s="14" t="s">
        <v>336</v>
      </c>
      <c r="M148" s="14" t="s">
        <v>26</v>
      </c>
      <c r="N148" s="16" t="n">
        <f aca="false">G148*H148</f>
        <v>111.33</v>
      </c>
      <c r="O148" s="18" t="n">
        <v>4.761904762</v>
      </c>
      <c r="P148" s="16" t="n">
        <f aca="false">I148</f>
        <v>5.5665</v>
      </c>
      <c r="Q148" s="19" t="n">
        <v>5</v>
      </c>
      <c r="R148" s="0" t="str">
        <f aca="false">TEXT(K148,"mmm yyyy")</f>
        <v>Jan 2019</v>
      </c>
      <c r="S148" s="14" t="n">
        <f aca="false">HOUR(TIMEVALUE(L148))</f>
        <v>11</v>
      </c>
      <c r="T148" s="0" t="str">
        <f aca="false">IF(S148&lt;12,"Morning",IF(S148&lt;17,"Afternoon","Evening"))</f>
        <v>Morning</v>
      </c>
      <c r="U148" s="16" t="n">
        <f aca="false">G148*H148*0.05</f>
        <v>5.5665</v>
      </c>
    </row>
    <row r="149" customFormat="false" ht="15" hidden="false" customHeight="false" outlineLevel="0" collapsed="false">
      <c r="A149" s="0" t="s">
        <v>337</v>
      </c>
      <c r="B149" s="0" t="s">
        <v>33</v>
      </c>
      <c r="C149" s="0" t="s">
        <v>65</v>
      </c>
      <c r="D149" s="0" t="s">
        <v>22</v>
      </c>
      <c r="E149" s="0" t="s">
        <v>57</v>
      </c>
      <c r="F149" s="0" t="s">
        <v>35</v>
      </c>
      <c r="G149" s="16" t="n">
        <v>40.8</v>
      </c>
      <c r="H149" s="0" t="n">
        <v>4</v>
      </c>
      <c r="I149" s="16" t="n">
        <f aca="false">G149*H149*0.05</f>
        <v>8.16</v>
      </c>
      <c r="J149" s="16" t="n">
        <f aca="false">G149*H149*1.05</f>
        <v>171.36</v>
      </c>
      <c r="K149" s="17" t="n">
        <v>43480</v>
      </c>
      <c r="L149" s="14" t="s">
        <v>338</v>
      </c>
      <c r="M149" s="14" t="s">
        <v>30</v>
      </c>
      <c r="N149" s="16" t="n">
        <f aca="false">G149*H149</f>
        <v>163.2</v>
      </c>
      <c r="O149" s="18" t="n">
        <v>4.761904762</v>
      </c>
      <c r="P149" s="16" t="n">
        <f aca="false">I149</f>
        <v>8.16</v>
      </c>
      <c r="Q149" s="19" t="n">
        <v>8.7</v>
      </c>
      <c r="R149" s="0" t="str">
        <f aca="false">TEXT(K149,"mmm yyyy")</f>
        <v>Jan 2019</v>
      </c>
      <c r="S149" s="14" t="n">
        <f aca="false">HOUR(TIMEVALUE(L149))</f>
        <v>17</v>
      </c>
      <c r="T149" s="0" t="str">
        <f aca="false">IF(S149&lt;12,"Morning",IF(S149&lt;17,"Afternoon","Evening"))</f>
        <v>Evening</v>
      </c>
      <c r="U149" s="16" t="n">
        <f aca="false">G149*H149*0.05</f>
        <v>8.16</v>
      </c>
    </row>
    <row r="150" customFormat="false" ht="15" hidden="false" customHeight="false" outlineLevel="0" collapsed="false">
      <c r="A150" s="0" t="s">
        <v>339</v>
      </c>
      <c r="B150" s="0" t="s">
        <v>33</v>
      </c>
      <c r="C150" s="0" t="s">
        <v>65</v>
      </c>
      <c r="D150" s="0" t="s">
        <v>21</v>
      </c>
      <c r="E150" s="0" t="s">
        <v>60</v>
      </c>
      <c r="F150" s="0" t="s">
        <v>35</v>
      </c>
      <c r="G150" s="16" t="n">
        <v>51.87</v>
      </c>
      <c r="H150" s="0" t="n">
        <v>3</v>
      </c>
      <c r="I150" s="16" t="n">
        <f aca="false">G150*H150*0.05</f>
        <v>7.7805</v>
      </c>
      <c r="J150" s="16" t="n">
        <f aca="false">G150*H150*1.05</f>
        <v>163.3905</v>
      </c>
      <c r="K150" s="17" t="n">
        <v>43480</v>
      </c>
      <c r="L150" s="14" t="s">
        <v>340</v>
      </c>
      <c r="M150" s="14" t="s">
        <v>26</v>
      </c>
      <c r="N150" s="16" t="n">
        <f aca="false">G150*H150</f>
        <v>155.61</v>
      </c>
      <c r="O150" s="18" t="n">
        <v>4.761904762</v>
      </c>
      <c r="P150" s="16" t="n">
        <f aca="false">I150</f>
        <v>7.7805</v>
      </c>
      <c r="Q150" s="19" t="n">
        <v>9.1</v>
      </c>
      <c r="R150" s="0" t="str">
        <f aca="false">TEXT(K150,"mmm yyyy")</f>
        <v>Jan 2019</v>
      </c>
      <c r="S150" s="14" t="n">
        <f aca="false">HOUR(TIMEVALUE(L150))</f>
        <v>20</v>
      </c>
      <c r="T150" s="0" t="str">
        <f aca="false">IF(S150&lt;12,"Morning",IF(S150&lt;17,"Afternoon","Evening"))</f>
        <v>Evening</v>
      </c>
      <c r="U150" s="16" t="n">
        <f aca="false">G150*H150*0.05</f>
        <v>7.7805</v>
      </c>
    </row>
    <row r="151" customFormat="false" ht="15" hidden="false" customHeight="false" outlineLevel="0" collapsed="false">
      <c r="A151" s="0" t="s">
        <v>341</v>
      </c>
      <c r="B151" s="0" t="s">
        <v>29</v>
      </c>
      <c r="C151" s="0" t="s">
        <v>56</v>
      </c>
      <c r="D151" s="0" t="s">
        <v>21</v>
      </c>
      <c r="E151" s="0" t="s">
        <v>57</v>
      </c>
      <c r="F151" s="0" t="s">
        <v>23</v>
      </c>
      <c r="G151" s="16" t="n">
        <v>31.72</v>
      </c>
      <c r="H151" s="0" t="n">
        <v>10</v>
      </c>
      <c r="I151" s="16" t="n">
        <f aca="false">G151*H151*0.05</f>
        <v>15.86</v>
      </c>
      <c r="J151" s="16" t="n">
        <f aca="false">G151*H151*1.05</f>
        <v>333.06</v>
      </c>
      <c r="K151" s="17" t="n">
        <v>43480</v>
      </c>
      <c r="L151" s="14" t="s">
        <v>342</v>
      </c>
      <c r="M151" s="14" t="s">
        <v>26</v>
      </c>
      <c r="N151" s="16" t="n">
        <f aca="false">G151*H151</f>
        <v>317.2</v>
      </c>
      <c r="O151" s="18" t="n">
        <v>4.761904762</v>
      </c>
      <c r="P151" s="16" t="n">
        <f aca="false">I151</f>
        <v>15.86</v>
      </c>
      <c r="Q151" s="19" t="n">
        <v>4.7</v>
      </c>
      <c r="R151" s="0" t="str">
        <f aca="false">TEXT(K151,"mmm yyyy")</f>
        <v>Jan 2019</v>
      </c>
      <c r="S151" s="14" t="n">
        <f aca="false">HOUR(TIMEVALUE(L151))</f>
        <v>15</v>
      </c>
      <c r="T151" s="0" t="str">
        <f aca="false">IF(S151&lt;12,"Morning",IF(S151&lt;17,"Afternoon","Evening"))</f>
        <v>Afternoon</v>
      </c>
      <c r="U151" s="16" t="n">
        <f aca="false">G151*H151*0.05</f>
        <v>15.86</v>
      </c>
    </row>
    <row r="152" customFormat="false" ht="15" hidden="false" customHeight="false" outlineLevel="0" collapsed="false">
      <c r="A152" s="0" t="s">
        <v>343</v>
      </c>
      <c r="B152" s="0" t="s">
        <v>33</v>
      </c>
      <c r="C152" s="0" t="s">
        <v>65</v>
      </c>
      <c r="D152" s="0" t="s">
        <v>21</v>
      </c>
      <c r="E152" s="0" t="s">
        <v>57</v>
      </c>
      <c r="F152" s="0" t="s">
        <v>31</v>
      </c>
      <c r="G152" s="16" t="n">
        <v>86.9</v>
      </c>
      <c r="H152" s="0" t="n">
        <v>5</v>
      </c>
      <c r="I152" s="16" t="n">
        <f aca="false">G152*H152*0.05</f>
        <v>21.725</v>
      </c>
      <c r="J152" s="16" t="n">
        <f aca="false">G152*H152*1.05</f>
        <v>456.225</v>
      </c>
      <c r="K152" s="17" t="n">
        <v>43480</v>
      </c>
      <c r="L152" s="14" t="s">
        <v>138</v>
      </c>
      <c r="M152" s="14" t="s">
        <v>30</v>
      </c>
      <c r="N152" s="16" t="n">
        <f aca="false">G152*H152</f>
        <v>434.5</v>
      </c>
      <c r="O152" s="18" t="n">
        <v>4.761904762</v>
      </c>
      <c r="P152" s="16" t="n">
        <f aca="false">I152</f>
        <v>21.725</v>
      </c>
      <c r="Q152" s="19" t="n">
        <v>5.2</v>
      </c>
      <c r="R152" s="0" t="str">
        <f aca="false">TEXT(K152,"mmm yyyy")</f>
        <v>Jan 2019</v>
      </c>
      <c r="S152" s="14" t="n">
        <f aca="false">HOUR(TIMEVALUE(L152))</f>
        <v>11</v>
      </c>
      <c r="T152" s="0" t="str">
        <f aca="false">IF(S152&lt;12,"Morning",IF(S152&lt;17,"Afternoon","Evening"))</f>
        <v>Morning</v>
      </c>
      <c r="U152" s="16" t="n">
        <f aca="false">G152*H152*0.05</f>
        <v>21.725</v>
      </c>
    </row>
    <row r="153" customFormat="false" ht="15" hidden="false" customHeight="false" outlineLevel="0" collapsed="false">
      <c r="A153" s="0" t="s">
        <v>344</v>
      </c>
      <c r="B153" s="0" t="s">
        <v>33</v>
      </c>
      <c r="C153" s="0" t="s">
        <v>65</v>
      </c>
      <c r="D153" s="0" t="s">
        <v>21</v>
      </c>
      <c r="E153" s="0" t="s">
        <v>60</v>
      </c>
      <c r="F153" s="0" t="s">
        <v>23</v>
      </c>
      <c r="G153" s="16" t="n">
        <v>48.97</v>
      </c>
      <c r="H153" s="0" t="n">
        <v>4</v>
      </c>
      <c r="I153" s="16" t="n">
        <f aca="false">G153*H153*0.05</f>
        <v>9.794</v>
      </c>
      <c r="J153" s="16" t="n">
        <f aca="false">G153*H153*1.05</f>
        <v>205.674</v>
      </c>
      <c r="K153" s="17" t="n">
        <v>43480</v>
      </c>
      <c r="L153" s="14" t="s">
        <v>345</v>
      </c>
      <c r="M153" s="14" t="s">
        <v>34</v>
      </c>
      <c r="N153" s="16" t="n">
        <f aca="false">G153*H153</f>
        <v>195.88</v>
      </c>
      <c r="O153" s="18" t="n">
        <v>4.761904762</v>
      </c>
      <c r="P153" s="16" t="n">
        <f aca="false">I153</f>
        <v>9.794</v>
      </c>
      <c r="Q153" s="19" t="n">
        <v>9.4</v>
      </c>
      <c r="R153" s="0" t="str">
        <f aca="false">TEXT(K153,"mmm yyyy")</f>
        <v>Jan 2019</v>
      </c>
      <c r="S153" s="14" t="n">
        <f aca="false">HOUR(TIMEVALUE(L153))</f>
        <v>17</v>
      </c>
      <c r="T153" s="0" t="str">
        <f aca="false">IF(S153&lt;12,"Morning",IF(S153&lt;17,"Afternoon","Evening"))</f>
        <v>Evening</v>
      </c>
      <c r="U153" s="16" t="n">
        <f aca="false">G153*H153*0.05</f>
        <v>9.794</v>
      </c>
    </row>
    <row r="154" customFormat="false" ht="15" hidden="false" customHeight="false" outlineLevel="0" collapsed="false">
      <c r="A154" s="0" t="s">
        <v>346</v>
      </c>
      <c r="B154" s="0" t="s">
        <v>25</v>
      </c>
      <c r="C154" s="0" t="s">
        <v>68</v>
      </c>
      <c r="D154" s="0" t="s">
        <v>21</v>
      </c>
      <c r="E154" s="0" t="s">
        <v>57</v>
      </c>
      <c r="F154" s="0" t="s">
        <v>27</v>
      </c>
      <c r="G154" s="16" t="n">
        <v>89.35</v>
      </c>
      <c r="H154" s="0" t="n">
        <v>4</v>
      </c>
      <c r="I154" s="16" t="n">
        <f aca="false">G154*H154*0.05</f>
        <v>17.87</v>
      </c>
      <c r="J154" s="16" t="n">
        <f aca="false">G154*H154*1.05</f>
        <v>375.27</v>
      </c>
      <c r="K154" s="17" t="n">
        <v>43480</v>
      </c>
      <c r="L154" s="14" t="s">
        <v>263</v>
      </c>
      <c r="M154" s="14" t="s">
        <v>30</v>
      </c>
      <c r="N154" s="16" t="n">
        <f aca="false">G154*H154</f>
        <v>357.4</v>
      </c>
      <c r="O154" s="18" t="n">
        <v>4.761904762</v>
      </c>
      <c r="P154" s="16" t="n">
        <f aca="false">I154</f>
        <v>17.87</v>
      </c>
      <c r="Q154" s="19" t="n">
        <v>7.9</v>
      </c>
      <c r="R154" s="0" t="str">
        <f aca="false">TEXT(K154,"mmm yyyy")</f>
        <v>Jan 2019</v>
      </c>
      <c r="S154" s="14" t="n">
        <f aca="false">HOUR(TIMEVALUE(L154))</f>
        <v>13</v>
      </c>
      <c r="T154" s="0" t="str">
        <f aca="false">IF(S154&lt;12,"Morning",IF(S154&lt;17,"Afternoon","Evening"))</f>
        <v>Afternoon</v>
      </c>
      <c r="U154" s="16" t="n">
        <f aca="false">G154*H154*0.05</f>
        <v>17.87</v>
      </c>
    </row>
    <row r="155" customFormat="false" ht="15" hidden="false" customHeight="false" outlineLevel="0" collapsed="false">
      <c r="A155" s="0" t="s">
        <v>347</v>
      </c>
      <c r="B155" s="0" t="s">
        <v>25</v>
      </c>
      <c r="C155" s="0" t="s">
        <v>68</v>
      </c>
      <c r="D155" s="0" t="s">
        <v>22</v>
      </c>
      <c r="E155" s="0" t="s">
        <v>60</v>
      </c>
      <c r="F155" s="0" t="s">
        <v>37</v>
      </c>
      <c r="G155" s="16" t="n">
        <v>64.9</v>
      </c>
      <c r="H155" s="0" t="n">
        <v>1</v>
      </c>
      <c r="I155" s="16" t="n">
        <f aca="false">G155*H155*0.05</f>
        <v>3.245</v>
      </c>
      <c r="J155" s="16" t="n">
        <f aca="false">G155*H155*1.05</f>
        <v>68.145</v>
      </c>
      <c r="K155" s="17" t="n">
        <v>43480</v>
      </c>
      <c r="L155" s="14" t="s">
        <v>348</v>
      </c>
      <c r="M155" s="14" t="s">
        <v>30</v>
      </c>
      <c r="N155" s="16" t="n">
        <f aca="false">G155*H155</f>
        <v>64.9</v>
      </c>
      <c r="O155" s="18" t="n">
        <v>4.761904762</v>
      </c>
      <c r="P155" s="16" t="n">
        <f aca="false">I155</f>
        <v>3.245</v>
      </c>
      <c r="Q155" s="19" t="n">
        <v>7.1</v>
      </c>
      <c r="R155" s="0" t="str">
        <f aca="false">TEXT(K155,"mmm yyyy")</f>
        <v>Jan 2019</v>
      </c>
      <c r="S155" s="14" t="n">
        <f aca="false">HOUR(TIMEVALUE(L155))</f>
        <v>15</v>
      </c>
      <c r="T155" s="0" t="str">
        <f aca="false">IF(S155&lt;12,"Morning",IF(S155&lt;17,"Afternoon","Evening"))</f>
        <v>Afternoon</v>
      </c>
      <c r="U155" s="16" t="n">
        <f aca="false">G155*H155*0.05</f>
        <v>3.245</v>
      </c>
    </row>
    <row r="156" customFormat="false" ht="15" hidden="false" customHeight="false" outlineLevel="0" collapsed="false">
      <c r="A156" s="0" t="s">
        <v>349</v>
      </c>
      <c r="B156" s="0" t="s">
        <v>33</v>
      </c>
      <c r="C156" s="0" t="s">
        <v>65</v>
      </c>
      <c r="D156" s="0" t="s">
        <v>22</v>
      </c>
      <c r="E156" s="0" t="s">
        <v>57</v>
      </c>
      <c r="F156" s="0" t="s">
        <v>37</v>
      </c>
      <c r="G156" s="16" t="n">
        <v>24.6</v>
      </c>
      <c r="H156" s="0" t="n">
        <v>10</v>
      </c>
      <c r="I156" s="16" t="n">
        <f aca="false">G156*H156*0.05</f>
        <v>12.3</v>
      </c>
      <c r="J156" s="16" t="n">
        <f aca="false">G156*H156*1.05</f>
        <v>258.3</v>
      </c>
      <c r="K156" s="17" t="n">
        <v>43481</v>
      </c>
      <c r="L156" s="14" t="s">
        <v>350</v>
      </c>
      <c r="M156" s="14" t="s">
        <v>26</v>
      </c>
      <c r="N156" s="16" t="n">
        <f aca="false">G156*H156</f>
        <v>246</v>
      </c>
      <c r="O156" s="18" t="n">
        <v>4.761904762</v>
      </c>
      <c r="P156" s="16" t="n">
        <f aca="false">I156</f>
        <v>12.3</v>
      </c>
      <c r="Q156" s="19" t="n">
        <v>8.9</v>
      </c>
      <c r="R156" s="0" t="str">
        <f aca="false">TEXT(K156,"mmm yyyy")</f>
        <v>Jan 2019</v>
      </c>
      <c r="S156" s="14" t="n">
        <f aca="false">HOUR(TIMEVALUE(L156))</f>
        <v>16</v>
      </c>
      <c r="T156" s="0" t="str">
        <f aca="false">IF(S156&lt;12,"Morning",IF(S156&lt;17,"Afternoon","Evening"))</f>
        <v>Afternoon</v>
      </c>
      <c r="U156" s="16" t="n">
        <f aca="false">G156*H156*0.05</f>
        <v>12.3</v>
      </c>
    </row>
    <row r="157" customFormat="false" ht="15" hidden="false" customHeight="false" outlineLevel="0" collapsed="false">
      <c r="A157" s="0" t="s">
        <v>351</v>
      </c>
      <c r="B157" s="0" t="s">
        <v>29</v>
      </c>
      <c r="C157" s="0" t="s">
        <v>56</v>
      </c>
      <c r="D157" s="0" t="s">
        <v>22</v>
      </c>
      <c r="E157" s="0" t="s">
        <v>60</v>
      </c>
      <c r="F157" s="0" t="s">
        <v>31</v>
      </c>
      <c r="G157" s="16" t="n">
        <v>89.11</v>
      </c>
      <c r="H157" s="0" t="n">
        <v>10</v>
      </c>
      <c r="I157" s="16" t="n">
        <f aca="false">G157*H157*0.05</f>
        <v>44.555</v>
      </c>
      <c r="J157" s="16" t="n">
        <f aca="false">G157*H157*1.05</f>
        <v>935.655</v>
      </c>
      <c r="K157" s="17" t="n">
        <v>43481</v>
      </c>
      <c r="L157" s="14" t="s">
        <v>352</v>
      </c>
      <c r="M157" s="14" t="s">
        <v>26</v>
      </c>
      <c r="N157" s="16" t="n">
        <f aca="false">G157*H157</f>
        <v>891.1</v>
      </c>
      <c r="O157" s="18" t="n">
        <v>4.761904762</v>
      </c>
      <c r="P157" s="16" t="n">
        <f aca="false">I157</f>
        <v>44.555</v>
      </c>
      <c r="Q157" s="19" t="n">
        <v>6.3</v>
      </c>
      <c r="R157" s="0" t="str">
        <f aca="false">TEXT(K157,"mmm yyyy")</f>
        <v>Jan 2019</v>
      </c>
      <c r="S157" s="14" t="n">
        <f aca="false">HOUR(TIMEVALUE(L157))</f>
        <v>19</v>
      </c>
      <c r="T157" s="0" t="str">
        <f aca="false">IF(S157&lt;12,"Morning",IF(S157&lt;17,"Afternoon","Evening"))</f>
        <v>Evening</v>
      </c>
      <c r="U157" s="16" t="n">
        <f aca="false">G157*H157*0.05</f>
        <v>44.555</v>
      </c>
    </row>
    <row r="158" customFormat="false" ht="15" hidden="false" customHeight="false" outlineLevel="0" collapsed="false">
      <c r="A158" s="0" t="s">
        <v>353</v>
      </c>
      <c r="B158" s="0" t="s">
        <v>29</v>
      </c>
      <c r="C158" s="0" t="s">
        <v>56</v>
      </c>
      <c r="D158" s="0" t="s">
        <v>21</v>
      </c>
      <c r="E158" s="0" t="s">
        <v>60</v>
      </c>
      <c r="F158" s="0" t="s">
        <v>36</v>
      </c>
      <c r="G158" s="16" t="n">
        <v>56.26</v>
      </c>
      <c r="H158" s="0" t="n">
        <v>9</v>
      </c>
      <c r="I158" s="16" t="n">
        <f aca="false">G158*H158*0.05</f>
        <v>25.317</v>
      </c>
      <c r="J158" s="16" t="n">
        <f aca="false">G158*H158*1.05</f>
        <v>531.657</v>
      </c>
      <c r="K158" s="17" t="n">
        <v>43481</v>
      </c>
      <c r="L158" s="14" t="s">
        <v>91</v>
      </c>
      <c r="M158" s="14" t="s">
        <v>34</v>
      </c>
      <c r="N158" s="16" t="n">
        <f aca="false">G158*H158</f>
        <v>506.34</v>
      </c>
      <c r="O158" s="18" t="n">
        <v>4.761904762</v>
      </c>
      <c r="P158" s="16" t="n">
        <f aca="false">I158</f>
        <v>25.317</v>
      </c>
      <c r="Q158" s="19" t="n">
        <v>7.9</v>
      </c>
      <c r="R158" s="0" t="str">
        <f aca="false">TEXT(K158,"mmm yyyy")</f>
        <v>Jan 2019</v>
      </c>
      <c r="S158" s="14" t="n">
        <f aca="false">HOUR(TIMEVALUE(L158))</f>
        <v>20</v>
      </c>
      <c r="T158" s="0" t="str">
        <f aca="false">IF(S158&lt;12,"Morning",IF(S158&lt;17,"Afternoon","Evening"))</f>
        <v>Evening</v>
      </c>
      <c r="U158" s="16" t="n">
        <f aca="false">G158*H158*0.05</f>
        <v>25.317</v>
      </c>
    </row>
    <row r="159" customFormat="false" ht="15" hidden="false" customHeight="false" outlineLevel="0" collapsed="false">
      <c r="A159" s="0" t="s">
        <v>354</v>
      </c>
      <c r="B159" s="0" t="s">
        <v>25</v>
      </c>
      <c r="C159" s="0" t="s">
        <v>68</v>
      </c>
      <c r="D159" s="0" t="s">
        <v>21</v>
      </c>
      <c r="E159" s="0" t="s">
        <v>57</v>
      </c>
      <c r="F159" s="0" t="s">
        <v>27</v>
      </c>
      <c r="G159" s="16" t="n">
        <v>21.14</v>
      </c>
      <c r="H159" s="0" t="n">
        <v>3</v>
      </c>
      <c r="I159" s="16" t="n">
        <f aca="false">G159*H159*0.05</f>
        <v>3.171</v>
      </c>
      <c r="J159" s="16" t="n">
        <f aca="false">G159*H159*1.05</f>
        <v>66.591</v>
      </c>
      <c r="K159" s="17" t="n">
        <v>43481</v>
      </c>
      <c r="L159" s="14" t="s">
        <v>355</v>
      </c>
      <c r="M159" s="14" t="s">
        <v>26</v>
      </c>
      <c r="N159" s="16" t="n">
        <f aca="false">G159*H159</f>
        <v>63.42</v>
      </c>
      <c r="O159" s="18" t="n">
        <v>4.761904762</v>
      </c>
      <c r="P159" s="16" t="n">
        <f aca="false">I159</f>
        <v>3.171</v>
      </c>
      <c r="Q159" s="19" t="n">
        <v>7.2</v>
      </c>
      <c r="R159" s="0" t="str">
        <f aca="false">TEXT(K159,"mmm yyyy")</f>
        <v>Jan 2019</v>
      </c>
      <c r="S159" s="14" t="n">
        <f aca="false">HOUR(TIMEVALUE(L159))</f>
        <v>12</v>
      </c>
      <c r="T159" s="0" t="str">
        <f aca="false">IF(S159&lt;12,"Morning",IF(S159&lt;17,"Afternoon","Evening"))</f>
        <v>Afternoon</v>
      </c>
      <c r="U159" s="16" t="n">
        <f aca="false">G159*H159*0.05</f>
        <v>3.171</v>
      </c>
    </row>
    <row r="160" customFormat="false" ht="15" hidden="false" customHeight="false" outlineLevel="0" collapsed="false">
      <c r="A160" s="0" t="s">
        <v>356</v>
      </c>
      <c r="B160" s="0" t="s">
        <v>25</v>
      </c>
      <c r="C160" s="0" t="s">
        <v>68</v>
      </c>
      <c r="D160" s="0" t="s">
        <v>21</v>
      </c>
      <c r="E160" s="0" t="s">
        <v>60</v>
      </c>
      <c r="F160" s="0" t="s">
        <v>31</v>
      </c>
      <c r="G160" s="16" t="n">
        <v>68.37</v>
      </c>
      <c r="H160" s="0" t="n">
        <v>3</v>
      </c>
      <c r="I160" s="16" t="n">
        <f aca="false">G160*H160*0.05</f>
        <v>10.2555</v>
      </c>
      <c r="J160" s="16" t="n">
        <f aca="false">G160*H160*1.05</f>
        <v>215.3655</v>
      </c>
      <c r="K160" s="17" t="n">
        <v>43481</v>
      </c>
      <c r="L160" s="14" t="s">
        <v>265</v>
      </c>
      <c r="M160" s="14" t="s">
        <v>34</v>
      </c>
      <c r="N160" s="16" t="n">
        <f aca="false">G160*H160</f>
        <v>205.11</v>
      </c>
      <c r="O160" s="18" t="n">
        <v>4.761904762</v>
      </c>
      <c r="P160" s="16" t="n">
        <f aca="false">I160</f>
        <v>10.2555</v>
      </c>
      <c r="Q160" s="19" t="n">
        <v>5.3</v>
      </c>
      <c r="R160" s="0" t="str">
        <f aca="false">TEXT(K160,"mmm yyyy")</f>
        <v>Jan 2019</v>
      </c>
      <c r="S160" s="14" t="n">
        <f aca="false">HOUR(TIMEVALUE(L160))</f>
        <v>20</v>
      </c>
      <c r="T160" s="0" t="str">
        <f aca="false">IF(S160&lt;12,"Morning",IF(S160&lt;17,"Afternoon","Evening"))</f>
        <v>Evening</v>
      </c>
      <c r="U160" s="16" t="n">
        <f aca="false">G160*H160*0.05</f>
        <v>10.2555</v>
      </c>
    </row>
    <row r="161" customFormat="false" ht="15" hidden="false" customHeight="false" outlineLevel="0" collapsed="false">
      <c r="A161" s="0" t="s">
        <v>357</v>
      </c>
      <c r="B161" s="0" t="s">
        <v>25</v>
      </c>
      <c r="C161" s="0" t="s">
        <v>68</v>
      </c>
      <c r="D161" s="0" t="s">
        <v>21</v>
      </c>
      <c r="E161" s="0" t="s">
        <v>57</v>
      </c>
      <c r="F161" s="0" t="s">
        <v>37</v>
      </c>
      <c r="G161" s="16" t="n">
        <v>70.67</v>
      </c>
      <c r="H161" s="0" t="n">
        <v>2</v>
      </c>
      <c r="I161" s="16" t="n">
        <f aca="false">G161*H161*0.05</f>
        <v>7.067</v>
      </c>
      <c r="J161" s="16" t="n">
        <f aca="false">G161*H161*1.05</f>
        <v>148.407</v>
      </c>
      <c r="K161" s="17" t="n">
        <v>43481</v>
      </c>
      <c r="L161" s="14" t="s">
        <v>358</v>
      </c>
      <c r="M161" s="14" t="s">
        <v>30</v>
      </c>
      <c r="N161" s="16" t="n">
        <f aca="false">G161*H161</f>
        <v>141.34</v>
      </c>
      <c r="O161" s="18" t="n">
        <v>4.761904762</v>
      </c>
      <c r="P161" s="16" t="n">
        <f aca="false">I161</f>
        <v>7.067</v>
      </c>
      <c r="Q161" s="19" t="n">
        <v>6.9</v>
      </c>
      <c r="R161" s="0" t="str">
        <f aca="false">TEXT(K161,"mmm yyyy")</f>
        <v>Jan 2019</v>
      </c>
      <c r="S161" s="14" t="n">
        <f aca="false">HOUR(TIMEVALUE(L161))</f>
        <v>19</v>
      </c>
      <c r="T161" s="0" t="str">
        <f aca="false">IF(S161&lt;12,"Morning",IF(S161&lt;17,"Afternoon","Evening"))</f>
        <v>Evening</v>
      </c>
      <c r="U161" s="16" t="n">
        <f aca="false">G161*H161*0.05</f>
        <v>7.067</v>
      </c>
    </row>
    <row r="162" customFormat="false" ht="15" hidden="false" customHeight="false" outlineLevel="0" collapsed="false">
      <c r="A162" s="0" t="s">
        <v>359</v>
      </c>
      <c r="B162" s="0" t="s">
        <v>25</v>
      </c>
      <c r="C162" s="0" t="s">
        <v>68</v>
      </c>
      <c r="D162" s="0" t="s">
        <v>21</v>
      </c>
      <c r="E162" s="0" t="s">
        <v>60</v>
      </c>
      <c r="F162" s="0" t="s">
        <v>36</v>
      </c>
      <c r="G162" s="16" t="n">
        <v>16.9</v>
      </c>
      <c r="H162" s="0" t="n">
        <v>3</v>
      </c>
      <c r="I162" s="16" t="n">
        <f aca="false">G162*H162*0.05</f>
        <v>2.535</v>
      </c>
      <c r="J162" s="16" t="n">
        <f aca="false">G162*H162*1.05</f>
        <v>53.235</v>
      </c>
      <c r="K162" s="17" t="n">
        <v>43481</v>
      </c>
      <c r="L162" s="14" t="s">
        <v>360</v>
      </c>
      <c r="M162" s="14" t="s">
        <v>26</v>
      </c>
      <c r="N162" s="16" t="n">
        <f aca="false">G162*H162</f>
        <v>50.7</v>
      </c>
      <c r="O162" s="18" t="n">
        <v>4.761904762</v>
      </c>
      <c r="P162" s="16" t="n">
        <f aca="false">I162</f>
        <v>2.535</v>
      </c>
      <c r="Q162" s="19" t="n">
        <v>5.2</v>
      </c>
      <c r="R162" s="0" t="str">
        <f aca="false">TEXT(K162,"mmm yyyy")</f>
        <v>Jan 2019</v>
      </c>
      <c r="S162" s="14" t="n">
        <f aca="false">HOUR(TIMEVALUE(L162))</f>
        <v>13</v>
      </c>
      <c r="T162" s="0" t="str">
        <f aca="false">IF(S162&lt;12,"Morning",IF(S162&lt;17,"Afternoon","Evening"))</f>
        <v>Afternoon</v>
      </c>
      <c r="U162" s="16" t="n">
        <f aca="false">G162*H162*0.05</f>
        <v>2.535</v>
      </c>
    </row>
    <row r="163" customFormat="false" ht="15" hidden="false" customHeight="false" outlineLevel="0" collapsed="false">
      <c r="A163" s="0" t="s">
        <v>361</v>
      </c>
      <c r="B163" s="0" t="s">
        <v>33</v>
      </c>
      <c r="C163" s="0" t="s">
        <v>65</v>
      </c>
      <c r="D163" s="0" t="s">
        <v>21</v>
      </c>
      <c r="E163" s="0" t="s">
        <v>60</v>
      </c>
      <c r="F163" s="0" t="s">
        <v>36</v>
      </c>
      <c r="G163" s="16" t="n">
        <v>16.91</v>
      </c>
      <c r="H163" s="0" t="n">
        <v>8</v>
      </c>
      <c r="I163" s="16" t="n">
        <f aca="false">G163*H163*0.05</f>
        <v>6.764</v>
      </c>
      <c r="J163" s="16" t="n">
        <f aca="false">G163*H163*1.05</f>
        <v>142.044</v>
      </c>
      <c r="K163" s="17" t="n">
        <v>43482</v>
      </c>
      <c r="L163" s="14" t="s">
        <v>362</v>
      </c>
      <c r="M163" s="14" t="s">
        <v>30</v>
      </c>
      <c r="N163" s="16" t="n">
        <f aca="false">G163*H163</f>
        <v>135.28</v>
      </c>
      <c r="O163" s="18" t="n">
        <v>4.761904762</v>
      </c>
      <c r="P163" s="16" t="n">
        <f aca="false">I163</f>
        <v>6.764</v>
      </c>
      <c r="Q163" s="19" t="n">
        <v>7.4</v>
      </c>
      <c r="R163" s="0" t="str">
        <f aca="false">TEXT(K163,"mmm yyyy")</f>
        <v>Jan 2019</v>
      </c>
      <c r="S163" s="14" t="n">
        <f aca="false">HOUR(TIMEVALUE(L163))</f>
        <v>14</v>
      </c>
      <c r="T163" s="0" t="str">
        <f aca="false">IF(S163&lt;12,"Morning",IF(S163&lt;17,"Afternoon","Evening"))</f>
        <v>Afternoon</v>
      </c>
      <c r="U163" s="16" t="n">
        <f aca="false">G163*H163*0.05</f>
        <v>6.764</v>
      </c>
    </row>
    <row r="164" customFormat="false" ht="15" hidden="false" customHeight="false" outlineLevel="0" collapsed="false">
      <c r="A164" s="0" t="s">
        <v>363</v>
      </c>
      <c r="B164" s="0" t="s">
        <v>25</v>
      </c>
      <c r="C164" s="0" t="s">
        <v>68</v>
      </c>
      <c r="D164" s="0" t="s">
        <v>21</v>
      </c>
      <c r="E164" s="0" t="s">
        <v>60</v>
      </c>
      <c r="F164" s="0" t="s">
        <v>31</v>
      </c>
      <c r="G164" s="16" t="n">
        <v>85.3</v>
      </c>
      <c r="H164" s="0" t="n">
        <v>9</v>
      </c>
      <c r="I164" s="16" t="n">
        <f aca="false">G164*H164*0.05</f>
        <v>38.385</v>
      </c>
      <c r="J164" s="16" t="n">
        <f aca="false">G164*H164*1.05</f>
        <v>806.085</v>
      </c>
      <c r="K164" s="17" t="n">
        <v>43482</v>
      </c>
      <c r="L164" s="14" t="s">
        <v>364</v>
      </c>
      <c r="M164" s="14" t="s">
        <v>26</v>
      </c>
      <c r="N164" s="16" t="n">
        <f aca="false">G164*H164</f>
        <v>767.7</v>
      </c>
      <c r="O164" s="18" t="n">
        <v>4.761904762</v>
      </c>
      <c r="P164" s="16" t="n">
        <f aca="false">I164</f>
        <v>38.385</v>
      </c>
      <c r="Q164" s="19" t="n">
        <v>4.4</v>
      </c>
      <c r="R164" s="0" t="str">
        <f aca="false">TEXT(K164,"mmm yyyy")</f>
        <v>Jan 2019</v>
      </c>
      <c r="S164" s="14" t="n">
        <f aca="false">HOUR(TIMEVALUE(L164))</f>
        <v>10</v>
      </c>
      <c r="T164" s="0" t="str">
        <f aca="false">IF(S164&lt;12,"Morning",IF(S164&lt;17,"Afternoon","Evening"))</f>
        <v>Morning</v>
      </c>
      <c r="U164" s="16" t="n">
        <f aca="false">G164*H164*0.05</f>
        <v>38.385</v>
      </c>
    </row>
    <row r="165" customFormat="false" ht="15" hidden="false" customHeight="false" outlineLevel="0" collapsed="false">
      <c r="A165" s="0" t="s">
        <v>365</v>
      </c>
      <c r="B165" s="0" t="s">
        <v>25</v>
      </c>
      <c r="C165" s="0" t="s">
        <v>68</v>
      </c>
      <c r="D165" s="0" t="s">
        <v>22</v>
      </c>
      <c r="E165" s="0" t="s">
        <v>57</v>
      </c>
      <c r="F165" s="0" t="s">
        <v>36</v>
      </c>
      <c r="G165" s="16" t="n">
        <v>14.26</v>
      </c>
      <c r="H165" s="0" t="n">
        <v>8</v>
      </c>
      <c r="I165" s="16" t="n">
        <f aca="false">G165*H165*0.05</f>
        <v>5.704</v>
      </c>
      <c r="J165" s="16" t="n">
        <f aca="false">G165*H165*1.05</f>
        <v>119.784</v>
      </c>
      <c r="K165" s="17" t="n">
        <v>43482</v>
      </c>
      <c r="L165" s="14" t="s">
        <v>366</v>
      </c>
      <c r="M165" s="14" t="s">
        <v>26</v>
      </c>
      <c r="N165" s="16" t="n">
        <f aca="false">G165*H165</f>
        <v>114.08</v>
      </c>
      <c r="O165" s="18" t="n">
        <v>4.761904762</v>
      </c>
      <c r="P165" s="16" t="n">
        <f aca="false">I165</f>
        <v>5.704</v>
      </c>
      <c r="Q165" s="19" t="n">
        <v>8.6</v>
      </c>
      <c r="R165" s="0" t="str">
        <f aca="false">TEXT(K165,"mmm yyyy")</f>
        <v>Jan 2019</v>
      </c>
      <c r="S165" s="14" t="n">
        <f aca="false">HOUR(TIMEVALUE(L165))</f>
        <v>13</v>
      </c>
      <c r="T165" s="0" t="str">
        <f aca="false">IF(S165&lt;12,"Morning",IF(S165&lt;17,"Afternoon","Evening"))</f>
        <v>Afternoon</v>
      </c>
      <c r="U165" s="16" t="n">
        <f aca="false">G165*H165*0.05</f>
        <v>5.704</v>
      </c>
    </row>
    <row r="166" customFormat="false" ht="15" hidden="false" customHeight="false" outlineLevel="0" collapsed="false">
      <c r="A166" s="0" t="s">
        <v>367</v>
      </c>
      <c r="B166" s="0" t="s">
        <v>33</v>
      </c>
      <c r="C166" s="0" t="s">
        <v>65</v>
      </c>
      <c r="D166" s="0" t="s">
        <v>21</v>
      </c>
      <c r="E166" s="0" t="s">
        <v>60</v>
      </c>
      <c r="F166" s="0" t="s">
        <v>37</v>
      </c>
      <c r="G166" s="16" t="n">
        <v>47.81</v>
      </c>
      <c r="H166" s="0" t="n">
        <v>4</v>
      </c>
      <c r="I166" s="16" t="n">
        <f aca="false">G166*H166*0.05</f>
        <v>9.562</v>
      </c>
      <c r="J166" s="16" t="n">
        <f aca="false">G166*H166*1.05</f>
        <v>200.802</v>
      </c>
      <c r="K166" s="17" t="n">
        <v>43482</v>
      </c>
      <c r="L166" s="14" t="s">
        <v>368</v>
      </c>
      <c r="M166" s="14" t="s">
        <v>30</v>
      </c>
      <c r="N166" s="16" t="n">
        <f aca="false">G166*H166</f>
        <v>191.24</v>
      </c>
      <c r="O166" s="18" t="n">
        <v>4.761904762</v>
      </c>
      <c r="P166" s="16" t="n">
        <f aca="false">I166</f>
        <v>9.562</v>
      </c>
      <c r="Q166" s="19" t="n">
        <v>8.3</v>
      </c>
      <c r="R166" s="0" t="str">
        <f aca="false">TEXT(K166,"mmm yyyy")</f>
        <v>Jan 2019</v>
      </c>
      <c r="S166" s="14" t="n">
        <f aca="false">HOUR(TIMEVALUE(L166))</f>
        <v>11</v>
      </c>
      <c r="T166" s="0" t="str">
        <f aca="false">IF(S166&lt;12,"Morning",IF(S166&lt;17,"Afternoon","Evening"))</f>
        <v>Morning</v>
      </c>
      <c r="U166" s="16" t="n">
        <f aca="false">G166*H166*0.05</f>
        <v>9.562</v>
      </c>
    </row>
    <row r="167" customFormat="false" ht="15" hidden="false" customHeight="false" outlineLevel="0" collapsed="false">
      <c r="A167" s="0" t="s">
        <v>369</v>
      </c>
      <c r="B167" s="0" t="s">
        <v>33</v>
      </c>
      <c r="C167" s="0" t="s">
        <v>65</v>
      </c>
      <c r="D167" s="0" t="s">
        <v>21</v>
      </c>
      <c r="E167" s="0" t="s">
        <v>60</v>
      </c>
      <c r="F167" s="0" t="s">
        <v>36</v>
      </c>
      <c r="G167" s="16" t="n">
        <v>83.34</v>
      </c>
      <c r="H167" s="0" t="n">
        <v>6</v>
      </c>
      <c r="I167" s="16" t="n">
        <f aca="false">G167*H167*0.05</f>
        <v>25.002</v>
      </c>
      <c r="J167" s="16" t="n">
        <f aca="false">G167*H167*1.05</f>
        <v>525.042</v>
      </c>
      <c r="K167" s="17" t="n">
        <v>43482</v>
      </c>
      <c r="L167" s="14" t="s">
        <v>370</v>
      </c>
      <c r="M167" s="14" t="s">
        <v>26</v>
      </c>
      <c r="N167" s="16" t="n">
        <f aca="false">G167*H167</f>
        <v>500.04</v>
      </c>
      <c r="O167" s="18" t="n">
        <v>4.761904762</v>
      </c>
      <c r="P167" s="16" t="n">
        <f aca="false">I167</f>
        <v>25.002</v>
      </c>
      <c r="Q167" s="19" t="n">
        <v>9</v>
      </c>
      <c r="R167" s="0" t="str">
        <f aca="false">TEXT(K167,"mmm yyyy")</f>
        <v>Jan 2019</v>
      </c>
      <c r="S167" s="14" t="n">
        <f aca="false">HOUR(TIMEVALUE(L167))</f>
        <v>11</v>
      </c>
      <c r="T167" s="0" t="str">
        <f aca="false">IF(S167&lt;12,"Morning",IF(S167&lt;17,"Afternoon","Evening"))</f>
        <v>Morning</v>
      </c>
      <c r="U167" s="16" t="n">
        <f aca="false">G167*H167*0.05</f>
        <v>25.002</v>
      </c>
    </row>
    <row r="168" customFormat="false" ht="15" hidden="false" customHeight="false" outlineLevel="0" collapsed="false">
      <c r="A168" s="0" t="s">
        <v>371</v>
      </c>
      <c r="B168" s="0" t="s">
        <v>33</v>
      </c>
      <c r="C168" s="0" t="s">
        <v>65</v>
      </c>
      <c r="D168" s="0" t="s">
        <v>22</v>
      </c>
      <c r="E168" s="0" t="s">
        <v>60</v>
      </c>
      <c r="F168" s="0" t="s">
        <v>23</v>
      </c>
      <c r="G168" s="16" t="n">
        <v>77.11</v>
      </c>
      <c r="H168" s="0" t="n">
        <v>4</v>
      </c>
      <c r="I168" s="16" t="n">
        <f aca="false">G168*H168*0.05</f>
        <v>15.422</v>
      </c>
      <c r="J168" s="16" t="n">
        <f aca="false">G168*H168*1.05</f>
        <v>323.862</v>
      </c>
      <c r="K168" s="17" t="n">
        <v>43482</v>
      </c>
      <c r="L168" s="14" t="s">
        <v>372</v>
      </c>
      <c r="M168" s="14" t="s">
        <v>34</v>
      </c>
      <c r="N168" s="16" t="n">
        <f aca="false">G168*H168</f>
        <v>308.44</v>
      </c>
      <c r="O168" s="18" t="n">
        <v>4.761904762</v>
      </c>
      <c r="P168" s="16" t="n">
        <f aca="false">I168</f>
        <v>15.422</v>
      </c>
      <c r="Q168" s="19" t="n">
        <v>6.2</v>
      </c>
      <c r="R168" s="0" t="str">
        <f aca="false">TEXT(K168,"mmm yyyy")</f>
        <v>Jan 2019</v>
      </c>
      <c r="S168" s="14" t="n">
        <f aca="false">HOUR(TIMEVALUE(L168))</f>
        <v>10</v>
      </c>
      <c r="T168" s="0" t="str">
        <f aca="false">IF(S168&lt;12,"Morning",IF(S168&lt;17,"Afternoon","Evening"))</f>
        <v>Morning</v>
      </c>
      <c r="U168" s="16" t="n">
        <f aca="false">G168*H168*0.05</f>
        <v>15.422</v>
      </c>
    </row>
    <row r="169" customFormat="false" ht="15" hidden="false" customHeight="false" outlineLevel="0" collapsed="false">
      <c r="A169" s="0" t="s">
        <v>373</v>
      </c>
      <c r="B169" s="0" t="s">
        <v>29</v>
      </c>
      <c r="C169" s="0" t="s">
        <v>56</v>
      </c>
      <c r="D169" s="0" t="s">
        <v>21</v>
      </c>
      <c r="E169" s="0" t="s">
        <v>57</v>
      </c>
      <c r="F169" s="0" t="s">
        <v>36</v>
      </c>
      <c r="G169" s="16" t="n">
        <v>96.81</v>
      </c>
      <c r="H169" s="0" t="n">
        <v>7</v>
      </c>
      <c r="I169" s="16" t="n">
        <f aca="false">G169*H169*0.05</f>
        <v>33.8835</v>
      </c>
      <c r="J169" s="16" t="n">
        <f aca="false">G169*H169*1.05</f>
        <v>711.5535</v>
      </c>
      <c r="K169" s="17" t="n">
        <v>43482</v>
      </c>
      <c r="L169" s="14" t="s">
        <v>374</v>
      </c>
      <c r="M169" s="14" t="s">
        <v>30</v>
      </c>
      <c r="N169" s="16" t="n">
        <f aca="false">G169*H169</f>
        <v>677.67</v>
      </c>
      <c r="O169" s="18" t="n">
        <v>4.761904762</v>
      </c>
      <c r="P169" s="16" t="n">
        <f aca="false">I169</f>
        <v>33.8835</v>
      </c>
      <c r="Q169" s="19" t="n">
        <v>8.8</v>
      </c>
      <c r="R169" s="0" t="str">
        <f aca="false">TEXT(K169,"mmm yyyy")</f>
        <v>Jan 2019</v>
      </c>
      <c r="S169" s="14" t="n">
        <f aca="false">HOUR(TIMEVALUE(L169))</f>
        <v>16</v>
      </c>
      <c r="T169" s="0" t="str">
        <f aca="false">IF(S169&lt;12,"Morning",IF(S169&lt;17,"Afternoon","Evening"))</f>
        <v>Afternoon</v>
      </c>
      <c r="U169" s="16" t="n">
        <f aca="false">G169*H169*0.05</f>
        <v>33.8835</v>
      </c>
    </row>
    <row r="170" customFormat="false" ht="15" hidden="false" customHeight="false" outlineLevel="0" collapsed="false">
      <c r="A170" s="0" t="s">
        <v>375</v>
      </c>
      <c r="B170" s="0" t="s">
        <v>29</v>
      </c>
      <c r="C170" s="0" t="s">
        <v>56</v>
      </c>
      <c r="D170" s="0" t="s">
        <v>22</v>
      </c>
      <c r="E170" s="0" t="s">
        <v>60</v>
      </c>
      <c r="F170" s="0" t="s">
        <v>36</v>
      </c>
      <c r="G170" s="16" t="n">
        <v>95.88</v>
      </c>
      <c r="H170" s="0" t="n">
        <v>1</v>
      </c>
      <c r="I170" s="16" t="n">
        <f aca="false">G170*H170*0.05</f>
        <v>4.794</v>
      </c>
      <c r="J170" s="16" t="n">
        <f aca="false">G170*H170*1.05</f>
        <v>100.674</v>
      </c>
      <c r="K170" s="17" t="n">
        <v>43482</v>
      </c>
      <c r="L170" s="14" t="s">
        <v>376</v>
      </c>
      <c r="M170" s="14" t="s">
        <v>26</v>
      </c>
      <c r="N170" s="16" t="n">
        <f aca="false">G170*H170</f>
        <v>95.88</v>
      </c>
      <c r="O170" s="18" t="n">
        <v>4.761904762</v>
      </c>
      <c r="P170" s="16" t="n">
        <f aca="false">I170</f>
        <v>4.794</v>
      </c>
      <c r="Q170" s="19" t="n">
        <v>4.7</v>
      </c>
      <c r="R170" s="0" t="str">
        <f aca="false">TEXT(K170,"mmm yyyy")</f>
        <v>Jan 2019</v>
      </c>
      <c r="S170" s="14" t="n">
        <f aca="false">HOUR(TIMEVALUE(L170))</f>
        <v>20</v>
      </c>
      <c r="T170" s="0" t="str">
        <f aca="false">IF(S170&lt;12,"Morning",IF(S170&lt;17,"Afternoon","Evening"))</f>
        <v>Evening</v>
      </c>
      <c r="U170" s="16" t="n">
        <f aca="false">G170*H170*0.05</f>
        <v>4.794</v>
      </c>
    </row>
    <row r="171" customFormat="false" ht="15" hidden="false" customHeight="false" outlineLevel="0" collapsed="false">
      <c r="A171" s="0" t="s">
        <v>377</v>
      </c>
      <c r="B171" s="0" t="s">
        <v>25</v>
      </c>
      <c r="C171" s="0" t="s">
        <v>68</v>
      </c>
      <c r="D171" s="0" t="s">
        <v>21</v>
      </c>
      <c r="E171" s="0" t="s">
        <v>57</v>
      </c>
      <c r="F171" s="0" t="s">
        <v>36</v>
      </c>
      <c r="G171" s="16" t="n">
        <v>98.4</v>
      </c>
      <c r="H171" s="0" t="n">
        <v>7</v>
      </c>
      <c r="I171" s="16" t="n">
        <f aca="false">G171*H171*0.05</f>
        <v>34.44</v>
      </c>
      <c r="J171" s="16" t="n">
        <f aca="false">G171*H171*1.05</f>
        <v>723.24</v>
      </c>
      <c r="K171" s="17" t="n">
        <v>43482</v>
      </c>
      <c r="L171" s="14" t="s">
        <v>378</v>
      </c>
      <c r="M171" s="14" t="s">
        <v>34</v>
      </c>
      <c r="N171" s="16" t="n">
        <f aca="false">G171*H171</f>
        <v>688.8</v>
      </c>
      <c r="O171" s="18" t="n">
        <v>4.761904762</v>
      </c>
      <c r="P171" s="16" t="n">
        <f aca="false">I171</f>
        <v>34.44</v>
      </c>
      <c r="Q171" s="19" t="n">
        <v>6</v>
      </c>
      <c r="R171" s="0" t="str">
        <f aca="false">TEXT(K171,"mmm yyyy")</f>
        <v>Jan 2019</v>
      </c>
      <c r="S171" s="14" t="n">
        <f aca="false">HOUR(TIMEVALUE(L171))</f>
        <v>18</v>
      </c>
      <c r="T171" s="0" t="str">
        <f aca="false">IF(S171&lt;12,"Morning",IF(S171&lt;17,"Afternoon","Evening"))</f>
        <v>Evening</v>
      </c>
      <c r="U171" s="16" t="n">
        <f aca="false">G171*H171*0.05</f>
        <v>34.44</v>
      </c>
    </row>
    <row r="172" customFormat="false" ht="15" hidden="false" customHeight="false" outlineLevel="0" collapsed="false">
      <c r="A172" s="0" t="s">
        <v>379</v>
      </c>
      <c r="B172" s="0" t="s">
        <v>29</v>
      </c>
      <c r="C172" s="0" t="s">
        <v>56</v>
      </c>
      <c r="D172" s="0" t="s">
        <v>21</v>
      </c>
      <c r="E172" s="0" t="s">
        <v>57</v>
      </c>
      <c r="F172" s="0" t="s">
        <v>36</v>
      </c>
      <c r="G172" s="16" t="n">
        <v>48.91</v>
      </c>
      <c r="H172" s="0" t="n">
        <v>5</v>
      </c>
      <c r="I172" s="16" t="n">
        <f aca="false">G172*H172*0.05</f>
        <v>12.2275</v>
      </c>
      <c r="J172" s="16" t="n">
        <f aca="false">G172*H172*1.05</f>
        <v>256.7775</v>
      </c>
      <c r="K172" s="17" t="n">
        <v>43482</v>
      </c>
      <c r="L172" s="14" t="s">
        <v>380</v>
      </c>
      <c r="M172" s="14" t="s">
        <v>26</v>
      </c>
      <c r="N172" s="16" t="n">
        <f aca="false">G172*H172</f>
        <v>244.55</v>
      </c>
      <c r="O172" s="18" t="n">
        <v>4.761904762</v>
      </c>
      <c r="P172" s="16" t="n">
        <f aca="false">I172</f>
        <v>12.2275</v>
      </c>
      <c r="Q172" s="19" t="n">
        <v>4.2</v>
      </c>
      <c r="R172" s="0" t="str">
        <f aca="false">TEXT(K172,"mmm yyyy")</f>
        <v>Jan 2019</v>
      </c>
      <c r="S172" s="14" t="n">
        <f aca="false">HOUR(TIMEVALUE(L172))</f>
        <v>17</v>
      </c>
      <c r="T172" s="0" t="str">
        <f aca="false">IF(S172&lt;12,"Morning",IF(S172&lt;17,"Afternoon","Evening"))</f>
        <v>Evening</v>
      </c>
      <c r="U172" s="16" t="n">
        <f aca="false">G172*H172*0.05</f>
        <v>12.2275</v>
      </c>
    </row>
    <row r="173" customFormat="false" ht="15" hidden="false" customHeight="false" outlineLevel="0" collapsed="false">
      <c r="A173" s="0" t="s">
        <v>381</v>
      </c>
      <c r="B173" s="0" t="s">
        <v>25</v>
      </c>
      <c r="C173" s="0" t="s">
        <v>68</v>
      </c>
      <c r="D173" s="0" t="s">
        <v>21</v>
      </c>
      <c r="E173" s="0" t="s">
        <v>60</v>
      </c>
      <c r="F173" s="0" t="s">
        <v>35</v>
      </c>
      <c r="G173" s="16" t="n">
        <v>55.52</v>
      </c>
      <c r="H173" s="0" t="n">
        <v>5</v>
      </c>
      <c r="I173" s="16" t="n">
        <f aca="false">G173*H173*0.05</f>
        <v>13.88</v>
      </c>
      <c r="J173" s="16" t="n">
        <f aca="false">G173*H173*1.05</f>
        <v>291.48</v>
      </c>
      <c r="K173" s="17" t="n">
        <v>43482</v>
      </c>
      <c r="L173" s="14" t="s">
        <v>382</v>
      </c>
      <c r="M173" s="14" t="s">
        <v>34</v>
      </c>
      <c r="N173" s="16" t="n">
        <f aca="false">G173*H173</f>
        <v>277.6</v>
      </c>
      <c r="O173" s="18" t="n">
        <v>4.761904762</v>
      </c>
      <c r="P173" s="16" t="n">
        <f aca="false">I173</f>
        <v>13.88</v>
      </c>
      <c r="Q173" s="19" t="n">
        <v>4.7</v>
      </c>
      <c r="R173" s="0" t="str">
        <f aca="false">TEXT(K173,"mmm yyyy")</f>
        <v>Jan 2019</v>
      </c>
      <c r="S173" s="14" t="n">
        <f aca="false">HOUR(TIMEVALUE(L173))</f>
        <v>20</v>
      </c>
      <c r="T173" s="0" t="str">
        <f aca="false">IF(S173&lt;12,"Morning",IF(S173&lt;17,"Afternoon","Evening"))</f>
        <v>Evening</v>
      </c>
      <c r="U173" s="16" t="n">
        <f aca="false">G173*H173*0.05</f>
        <v>13.88</v>
      </c>
    </row>
    <row r="174" customFormat="false" ht="15" hidden="false" customHeight="false" outlineLevel="0" collapsed="false">
      <c r="A174" s="0" t="s">
        <v>383</v>
      </c>
      <c r="B174" s="0" t="s">
        <v>25</v>
      </c>
      <c r="C174" s="0" t="s">
        <v>68</v>
      </c>
      <c r="D174" s="0" t="s">
        <v>22</v>
      </c>
      <c r="E174" s="0" t="s">
        <v>60</v>
      </c>
      <c r="F174" s="0" t="s">
        <v>23</v>
      </c>
      <c r="G174" s="16" t="n">
        <v>24.93</v>
      </c>
      <c r="H174" s="0" t="n">
        <v>9</v>
      </c>
      <c r="I174" s="16" t="n">
        <f aca="false">G174*H174*0.05</f>
        <v>11.2185</v>
      </c>
      <c r="J174" s="16" t="n">
        <f aca="false">G174*H174*1.05</f>
        <v>235.5885</v>
      </c>
      <c r="K174" s="17" t="n">
        <v>43482</v>
      </c>
      <c r="L174" s="14" t="s">
        <v>384</v>
      </c>
      <c r="M174" s="14" t="s">
        <v>30</v>
      </c>
      <c r="N174" s="16" t="n">
        <f aca="false">G174*H174</f>
        <v>224.37</v>
      </c>
      <c r="O174" s="18" t="n">
        <v>4.761904762</v>
      </c>
      <c r="P174" s="16" t="n">
        <f aca="false">I174</f>
        <v>11.2185</v>
      </c>
      <c r="Q174" s="19" t="n">
        <v>6.5</v>
      </c>
      <c r="R174" s="0" t="str">
        <f aca="false">TEXT(K174,"mmm yyyy")</f>
        <v>Jan 2019</v>
      </c>
      <c r="S174" s="14" t="n">
        <f aca="false">HOUR(TIMEVALUE(L174))</f>
        <v>11</v>
      </c>
      <c r="T174" s="0" t="str">
        <f aca="false">IF(S174&lt;12,"Morning",IF(S174&lt;17,"Afternoon","Evening"))</f>
        <v>Morning</v>
      </c>
      <c r="U174" s="16" t="n">
        <f aca="false">G174*H174*0.05</f>
        <v>11.2185</v>
      </c>
    </row>
    <row r="175" customFormat="false" ht="15" hidden="false" customHeight="false" outlineLevel="0" collapsed="false">
      <c r="A175" s="0" t="s">
        <v>385</v>
      </c>
      <c r="B175" s="0" t="s">
        <v>29</v>
      </c>
      <c r="C175" s="0" t="s">
        <v>56</v>
      </c>
      <c r="D175" s="0" t="s">
        <v>21</v>
      </c>
      <c r="E175" s="0" t="s">
        <v>60</v>
      </c>
      <c r="F175" s="0" t="s">
        <v>31</v>
      </c>
      <c r="G175" s="16" t="n">
        <v>92.45</v>
      </c>
      <c r="H175" s="0" t="n">
        <v>7</v>
      </c>
      <c r="I175" s="16" t="n">
        <f aca="false">G175*H175*0.05</f>
        <v>32.3575</v>
      </c>
      <c r="J175" s="16" t="n">
        <f aca="false">G175*H175*1.05</f>
        <v>679.5075</v>
      </c>
      <c r="K175" s="17" t="n">
        <v>43482</v>
      </c>
      <c r="L175" s="14" t="s">
        <v>261</v>
      </c>
      <c r="M175" s="14" t="s">
        <v>30</v>
      </c>
      <c r="N175" s="16" t="n">
        <f aca="false">G175*H175</f>
        <v>647.15</v>
      </c>
      <c r="O175" s="18" t="n">
        <v>4.761904762</v>
      </c>
      <c r="P175" s="16" t="n">
        <f aca="false">I175</f>
        <v>32.3575</v>
      </c>
      <c r="Q175" s="19" t="n">
        <v>8.2</v>
      </c>
      <c r="R175" s="0" t="str">
        <f aca="false">TEXT(K175,"mmm yyyy")</f>
        <v>Jan 2019</v>
      </c>
      <c r="S175" s="14" t="n">
        <f aca="false">HOUR(TIMEVALUE(L175))</f>
        <v>16</v>
      </c>
      <c r="T175" s="0" t="str">
        <f aca="false">IF(S175&lt;12,"Morning",IF(S175&lt;17,"Afternoon","Evening"))</f>
        <v>Afternoon</v>
      </c>
      <c r="U175" s="16" t="n">
        <f aca="false">G175*H175*0.05</f>
        <v>32.3575</v>
      </c>
    </row>
    <row r="176" customFormat="false" ht="15" hidden="false" customHeight="false" outlineLevel="0" collapsed="false">
      <c r="A176" s="0" t="s">
        <v>386</v>
      </c>
      <c r="B176" s="0" t="s">
        <v>25</v>
      </c>
      <c r="C176" s="0" t="s">
        <v>68</v>
      </c>
      <c r="D176" s="0" t="s">
        <v>21</v>
      </c>
      <c r="E176" s="0" t="s">
        <v>57</v>
      </c>
      <c r="F176" s="0" t="s">
        <v>35</v>
      </c>
      <c r="G176" s="16" t="n">
        <v>12.96</v>
      </c>
      <c r="H176" s="0" t="n">
        <v>4</v>
      </c>
      <c r="I176" s="16" t="n">
        <f aca="false">G176*H176*0.05</f>
        <v>2.592</v>
      </c>
      <c r="J176" s="16" t="n">
        <f aca="false">G176*H176*1.05</f>
        <v>54.432</v>
      </c>
      <c r="K176" s="17" t="n">
        <v>43482</v>
      </c>
      <c r="L176" s="14" t="s">
        <v>387</v>
      </c>
      <c r="M176" s="14" t="s">
        <v>26</v>
      </c>
      <c r="N176" s="16" t="n">
        <f aca="false">G176*H176</f>
        <v>51.84</v>
      </c>
      <c r="O176" s="18" t="n">
        <v>4.761904762</v>
      </c>
      <c r="P176" s="16" t="n">
        <f aca="false">I176</f>
        <v>2.592</v>
      </c>
      <c r="Q176" s="19" t="n">
        <v>10</v>
      </c>
      <c r="R176" s="0" t="str">
        <f aca="false">TEXT(K176,"mmm yyyy")</f>
        <v>Jan 2019</v>
      </c>
      <c r="S176" s="14" t="n">
        <f aca="false">HOUR(TIMEVALUE(L176))</f>
        <v>17</v>
      </c>
      <c r="T176" s="0" t="str">
        <f aca="false">IF(S176&lt;12,"Morning",IF(S176&lt;17,"Afternoon","Evening"))</f>
        <v>Evening</v>
      </c>
      <c r="U176" s="16" t="n">
        <f aca="false">G176*H176*0.05</f>
        <v>2.592</v>
      </c>
    </row>
    <row r="177" customFormat="false" ht="15" hidden="false" customHeight="false" outlineLevel="0" collapsed="false">
      <c r="A177" s="0" t="s">
        <v>388</v>
      </c>
      <c r="B177" s="0" t="s">
        <v>33</v>
      </c>
      <c r="C177" s="0" t="s">
        <v>65</v>
      </c>
      <c r="D177" s="0" t="s">
        <v>22</v>
      </c>
      <c r="E177" s="0" t="s">
        <v>57</v>
      </c>
      <c r="F177" s="0" t="s">
        <v>31</v>
      </c>
      <c r="G177" s="16" t="n">
        <v>28.69</v>
      </c>
      <c r="H177" s="0" t="n">
        <v>9</v>
      </c>
      <c r="I177" s="16" t="n">
        <f aca="false">G177*H177*0.05</f>
        <v>12.9105</v>
      </c>
      <c r="J177" s="16" t="n">
        <f aca="false">G177*H177*1.05</f>
        <v>271.1205</v>
      </c>
      <c r="K177" s="17" t="n">
        <v>43483</v>
      </c>
      <c r="L177" s="14" t="s">
        <v>389</v>
      </c>
      <c r="M177" s="14" t="s">
        <v>26</v>
      </c>
      <c r="N177" s="16" t="n">
        <f aca="false">G177*H177</f>
        <v>258.21</v>
      </c>
      <c r="O177" s="18" t="n">
        <v>4.761904762</v>
      </c>
      <c r="P177" s="16" t="n">
        <f aca="false">I177</f>
        <v>12.9105</v>
      </c>
      <c r="Q177" s="19" t="n">
        <v>6.6</v>
      </c>
      <c r="R177" s="0" t="str">
        <f aca="false">TEXT(K177,"mmm yyyy")</f>
        <v>Jan 2019</v>
      </c>
      <c r="S177" s="14" t="n">
        <f aca="false">HOUR(TIMEVALUE(L177))</f>
        <v>10</v>
      </c>
      <c r="T177" s="0" t="str">
        <f aca="false">IF(S177&lt;12,"Morning",IF(S177&lt;17,"Afternoon","Evening"))</f>
        <v>Morning</v>
      </c>
      <c r="U177" s="16" t="n">
        <f aca="false">G177*H177*0.05</f>
        <v>12.9105</v>
      </c>
    </row>
    <row r="178" customFormat="false" ht="15" hidden="false" customHeight="false" outlineLevel="0" collapsed="false">
      <c r="A178" s="0" t="s">
        <v>390</v>
      </c>
      <c r="B178" s="0" t="s">
        <v>33</v>
      </c>
      <c r="C178" s="0" t="s">
        <v>65</v>
      </c>
      <c r="D178" s="0" t="s">
        <v>22</v>
      </c>
      <c r="E178" s="0" t="s">
        <v>60</v>
      </c>
      <c r="F178" s="0" t="s">
        <v>35</v>
      </c>
      <c r="G178" s="16" t="n">
        <v>86.19</v>
      </c>
      <c r="H178" s="0" t="n">
        <v>3</v>
      </c>
      <c r="I178" s="16" t="n">
        <f aca="false">G178*H178*0.05</f>
        <v>12.9285</v>
      </c>
      <c r="J178" s="16" t="n">
        <f aca="false">G178*H178*1.05</f>
        <v>271.4985</v>
      </c>
      <c r="K178" s="17" t="n">
        <v>43483</v>
      </c>
      <c r="L178" s="14" t="s">
        <v>391</v>
      </c>
      <c r="M178" s="14" t="s">
        <v>26</v>
      </c>
      <c r="N178" s="16" t="n">
        <f aca="false">G178*H178</f>
        <v>258.57</v>
      </c>
      <c r="O178" s="18" t="n">
        <v>4.761904762</v>
      </c>
      <c r="P178" s="16" t="n">
        <f aca="false">I178</f>
        <v>12.9285</v>
      </c>
      <c r="Q178" s="19" t="n">
        <v>4.8</v>
      </c>
      <c r="R178" s="0" t="str">
        <f aca="false">TEXT(K178,"mmm yyyy")</f>
        <v>Jan 2019</v>
      </c>
      <c r="S178" s="14" t="n">
        <f aca="false">HOUR(TIMEVALUE(L178))</f>
        <v>20</v>
      </c>
      <c r="T178" s="0" t="str">
        <f aca="false">IF(S178&lt;12,"Morning",IF(S178&lt;17,"Afternoon","Evening"))</f>
        <v>Evening</v>
      </c>
      <c r="U178" s="16" t="n">
        <f aca="false">G178*H178*0.05</f>
        <v>12.9285</v>
      </c>
    </row>
    <row r="179" customFormat="false" ht="15" hidden="false" customHeight="false" outlineLevel="0" collapsed="false">
      <c r="A179" s="0" t="s">
        <v>392</v>
      </c>
      <c r="B179" s="0" t="s">
        <v>25</v>
      </c>
      <c r="C179" s="0" t="s">
        <v>68</v>
      </c>
      <c r="D179" s="0" t="s">
        <v>22</v>
      </c>
      <c r="E179" s="0" t="s">
        <v>60</v>
      </c>
      <c r="F179" s="0" t="s">
        <v>31</v>
      </c>
      <c r="G179" s="16" t="n">
        <v>93.05</v>
      </c>
      <c r="H179" s="0" t="n">
        <v>5</v>
      </c>
      <c r="I179" s="16" t="n">
        <f aca="false">G179*H179*0.05</f>
        <v>23.2625</v>
      </c>
      <c r="J179" s="16" t="n">
        <f aca="false">G179*H179*1.05</f>
        <v>488.5125</v>
      </c>
      <c r="K179" s="17" t="n">
        <v>43483</v>
      </c>
      <c r="L179" s="14" t="s">
        <v>393</v>
      </c>
      <c r="M179" s="14" t="s">
        <v>26</v>
      </c>
      <c r="N179" s="16" t="n">
        <f aca="false">G179*H179</f>
        <v>465.25</v>
      </c>
      <c r="O179" s="18" t="n">
        <v>4.761904762</v>
      </c>
      <c r="P179" s="16" t="n">
        <f aca="false">I179</f>
        <v>23.2625</v>
      </c>
      <c r="Q179" s="19" t="n">
        <v>7.7</v>
      </c>
      <c r="R179" s="0" t="str">
        <f aca="false">TEXT(K179,"mmm yyyy")</f>
        <v>Jan 2019</v>
      </c>
      <c r="S179" s="14" t="n">
        <f aca="false">HOUR(TIMEVALUE(L179))</f>
        <v>10</v>
      </c>
      <c r="T179" s="0" t="str">
        <f aca="false">IF(S179&lt;12,"Morning",IF(S179&lt;17,"Afternoon","Evening"))</f>
        <v>Morning</v>
      </c>
      <c r="U179" s="16" t="n">
        <f aca="false">G179*H179*0.05</f>
        <v>23.2625</v>
      </c>
    </row>
    <row r="180" customFormat="false" ht="15" hidden="false" customHeight="false" outlineLevel="0" collapsed="false">
      <c r="A180" s="0" t="s">
        <v>394</v>
      </c>
      <c r="B180" s="0" t="s">
        <v>25</v>
      </c>
      <c r="C180" s="0" t="s">
        <v>68</v>
      </c>
      <c r="D180" s="0" t="s">
        <v>21</v>
      </c>
      <c r="E180" s="0" t="s">
        <v>57</v>
      </c>
      <c r="F180" s="0" t="s">
        <v>27</v>
      </c>
      <c r="G180" s="16" t="n">
        <v>63.1</v>
      </c>
      <c r="H180" s="0" t="n">
        <v>2</v>
      </c>
      <c r="I180" s="16" t="n">
        <f aca="false">G180*H180*0.05</f>
        <v>6.31</v>
      </c>
      <c r="J180" s="16" t="n">
        <f aca="false">G180*H180*1.05</f>
        <v>132.51</v>
      </c>
      <c r="K180" s="17" t="n">
        <v>43483</v>
      </c>
      <c r="L180" s="14" t="s">
        <v>395</v>
      </c>
      <c r="M180" s="14" t="s">
        <v>30</v>
      </c>
      <c r="N180" s="16" t="n">
        <f aca="false">G180*H180</f>
        <v>126.2</v>
      </c>
      <c r="O180" s="18" t="n">
        <v>4.761904762</v>
      </c>
      <c r="P180" s="16" t="n">
        <f aca="false">I180</f>
        <v>6.31</v>
      </c>
      <c r="Q180" s="19" t="n">
        <v>9.7</v>
      </c>
      <c r="R180" s="0" t="str">
        <f aca="false">TEXT(K180,"mmm yyyy")</f>
        <v>Jan 2019</v>
      </c>
      <c r="S180" s="14" t="n">
        <f aca="false">HOUR(TIMEVALUE(L180))</f>
        <v>10</v>
      </c>
      <c r="T180" s="0" t="str">
        <f aca="false">IF(S180&lt;12,"Morning",IF(S180&lt;17,"Afternoon","Evening"))</f>
        <v>Morning</v>
      </c>
      <c r="U180" s="16" t="n">
        <f aca="false">G180*H180*0.05</f>
        <v>6.31</v>
      </c>
    </row>
    <row r="181" customFormat="false" ht="15" hidden="false" customHeight="false" outlineLevel="0" collapsed="false">
      <c r="A181" s="0" t="s">
        <v>396</v>
      </c>
      <c r="B181" s="0" t="s">
        <v>33</v>
      </c>
      <c r="C181" s="0" t="s">
        <v>65</v>
      </c>
      <c r="D181" s="0" t="s">
        <v>21</v>
      </c>
      <c r="E181" s="0" t="s">
        <v>57</v>
      </c>
      <c r="F181" s="0" t="s">
        <v>27</v>
      </c>
      <c r="G181" s="16" t="n">
        <v>99.84</v>
      </c>
      <c r="H181" s="0" t="n">
        <v>8</v>
      </c>
      <c r="I181" s="16" t="n">
        <f aca="false">G181*H181*0.05</f>
        <v>39.936</v>
      </c>
      <c r="J181" s="16" t="n">
        <f aca="false">G181*H181*1.05</f>
        <v>838.656</v>
      </c>
      <c r="K181" s="17" t="n">
        <v>43483</v>
      </c>
      <c r="L181" s="14" t="s">
        <v>73</v>
      </c>
      <c r="M181" s="14" t="s">
        <v>34</v>
      </c>
      <c r="N181" s="16" t="n">
        <f aca="false">G181*H181</f>
        <v>798.72</v>
      </c>
      <c r="O181" s="18" t="n">
        <v>4.761904762</v>
      </c>
      <c r="P181" s="16" t="n">
        <f aca="false">I181</f>
        <v>39.936</v>
      </c>
      <c r="Q181" s="19" t="n">
        <v>5.2</v>
      </c>
      <c r="R181" s="0" t="str">
        <f aca="false">TEXT(K181,"mmm yyyy")</f>
        <v>Jan 2019</v>
      </c>
      <c r="S181" s="14" t="n">
        <f aca="false">HOUR(TIMEVALUE(L181))</f>
        <v>18</v>
      </c>
      <c r="T181" s="0" t="str">
        <f aca="false">IF(S181&lt;12,"Morning",IF(S181&lt;17,"Afternoon","Evening"))</f>
        <v>Evening</v>
      </c>
      <c r="U181" s="16" t="n">
        <f aca="false">G181*H181*0.05</f>
        <v>39.936</v>
      </c>
    </row>
    <row r="182" customFormat="false" ht="15" hidden="false" customHeight="false" outlineLevel="0" collapsed="false">
      <c r="A182" s="0" t="s">
        <v>397</v>
      </c>
      <c r="B182" s="0" t="s">
        <v>25</v>
      </c>
      <c r="C182" s="0" t="s">
        <v>68</v>
      </c>
      <c r="D182" s="0" t="s">
        <v>22</v>
      </c>
      <c r="E182" s="0" t="s">
        <v>60</v>
      </c>
      <c r="F182" s="0" t="s">
        <v>31</v>
      </c>
      <c r="G182" s="16" t="n">
        <v>72.86</v>
      </c>
      <c r="H182" s="0" t="n">
        <v>7</v>
      </c>
      <c r="I182" s="16" t="n">
        <f aca="false">G182*H182*0.05</f>
        <v>25.501</v>
      </c>
      <c r="J182" s="16" t="n">
        <f aca="false">G182*H182*1.05</f>
        <v>535.521</v>
      </c>
      <c r="K182" s="17" t="n">
        <v>43483</v>
      </c>
      <c r="L182" s="14" t="s">
        <v>192</v>
      </c>
      <c r="M182" s="14" t="s">
        <v>34</v>
      </c>
      <c r="N182" s="16" t="n">
        <f aca="false">G182*H182</f>
        <v>510.02</v>
      </c>
      <c r="O182" s="18" t="n">
        <v>4.761904762</v>
      </c>
      <c r="P182" s="16" t="n">
        <f aca="false">I182</f>
        <v>25.501</v>
      </c>
      <c r="Q182" s="19" t="n">
        <v>4.7</v>
      </c>
      <c r="R182" s="0" t="str">
        <f aca="false">TEXT(K182,"mmm yyyy")</f>
        <v>Jan 2019</v>
      </c>
      <c r="S182" s="14" t="n">
        <f aca="false">HOUR(TIMEVALUE(L182))</f>
        <v>13</v>
      </c>
      <c r="T182" s="0" t="str">
        <f aca="false">IF(S182&lt;12,"Morning",IF(S182&lt;17,"Afternoon","Evening"))</f>
        <v>Afternoon</v>
      </c>
      <c r="U182" s="16" t="n">
        <f aca="false">G182*H182*0.05</f>
        <v>25.501</v>
      </c>
    </row>
    <row r="183" customFormat="false" ht="15" hidden="false" customHeight="false" outlineLevel="0" collapsed="false">
      <c r="A183" s="0" t="s">
        <v>398</v>
      </c>
      <c r="B183" s="0" t="s">
        <v>25</v>
      </c>
      <c r="C183" s="0" t="s">
        <v>68</v>
      </c>
      <c r="D183" s="0" t="s">
        <v>21</v>
      </c>
      <c r="E183" s="0" t="s">
        <v>57</v>
      </c>
      <c r="F183" s="0" t="s">
        <v>35</v>
      </c>
      <c r="G183" s="16" t="n">
        <v>19.3</v>
      </c>
      <c r="H183" s="0" t="n">
        <v>3</v>
      </c>
      <c r="I183" s="16" t="n">
        <f aca="false">G183*H183*0.05</f>
        <v>2.895</v>
      </c>
      <c r="J183" s="16" t="n">
        <f aca="false">G183*H183*1.05</f>
        <v>60.795</v>
      </c>
      <c r="K183" s="17" t="n">
        <v>43483</v>
      </c>
      <c r="L183" s="14" t="s">
        <v>399</v>
      </c>
      <c r="M183" s="14" t="s">
        <v>30</v>
      </c>
      <c r="N183" s="16" t="n">
        <f aca="false">G183*H183</f>
        <v>57.9</v>
      </c>
      <c r="O183" s="18" t="n">
        <v>4.761904762</v>
      </c>
      <c r="P183" s="16" t="n">
        <f aca="false">I183</f>
        <v>2.895</v>
      </c>
      <c r="Q183" s="19" t="n">
        <v>5.6</v>
      </c>
      <c r="R183" s="0" t="str">
        <f aca="false">TEXT(K183,"mmm yyyy")</f>
        <v>Jan 2019</v>
      </c>
      <c r="S183" s="14" t="n">
        <f aca="false">HOUR(TIMEVALUE(L183))</f>
        <v>13</v>
      </c>
      <c r="T183" s="0" t="str">
        <f aca="false">IF(S183&lt;12,"Morning",IF(S183&lt;17,"Afternoon","Evening"))</f>
        <v>Afternoon</v>
      </c>
      <c r="U183" s="16" t="n">
        <f aca="false">G183*H183*0.05</f>
        <v>2.895</v>
      </c>
    </row>
    <row r="184" customFormat="false" ht="15" hidden="false" customHeight="false" outlineLevel="0" collapsed="false">
      <c r="A184" s="0" t="s">
        <v>400</v>
      </c>
      <c r="B184" s="0" t="s">
        <v>33</v>
      </c>
      <c r="C184" s="0" t="s">
        <v>65</v>
      </c>
      <c r="D184" s="0" t="s">
        <v>21</v>
      </c>
      <c r="E184" s="0" t="s">
        <v>57</v>
      </c>
      <c r="F184" s="0" t="s">
        <v>37</v>
      </c>
      <c r="G184" s="16" t="n">
        <v>63.47</v>
      </c>
      <c r="H184" s="0" t="n">
        <v>1</v>
      </c>
      <c r="I184" s="16" t="n">
        <f aca="false">G184*H184*0.05</f>
        <v>3.1735</v>
      </c>
      <c r="J184" s="16" t="n">
        <f aca="false">G184*H184*1.05</f>
        <v>66.6435</v>
      </c>
      <c r="K184" s="17" t="n">
        <v>43483</v>
      </c>
      <c r="L184" s="14" t="s">
        <v>401</v>
      </c>
      <c r="M184" s="14" t="s">
        <v>30</v>
      </c>
      <c r="N184" s="16" t="n">
        <f aca="false">G184*H184</f>
        <v>63.47</v>
      </c>
      <c r="O184" s="18" t="n">
        <v>4.761904762</v>
      </c>
      <c r="P184" s="16" t="n">
        <f aca="false">I184</f>
        <v>3.1735</v>
      </c>
      <c r="Q184" s="19" t="n">
        <v>6</v>
      </c>
      <c r="R184" s="0" t="str">
        <f aca="false">TEXT(K184,"mmm yyyy")</f>
        <v>Jan 2019</v>
      </c>
      <c r="S184" s="14" t="n">
        <f aca="false">HOUR(TIMEVALUE(L184))</f>
        <v>16</v>
      </c>
      <c r="T184" s="0" t="str">
        <f aca="false">IF(S184&lt;12,"Morning",IF(S184&lt;17,"Afternoon","Evening"))</f>
        <v>Afternoon</v>
      </c>
      <c r="U184" s="16" t="n">
        <f aca="false">G184*H184*0.05</f>
        <v>3.1735</v>
      </c>
    </row>
    <row r="185" customFormat="false" ht="15" hidden="false" customHeight="false" outlineLevel="0" collapsed="false">
      <c r="A185" s="0" t="s">
        <v>402</v>
      </c>
      <c r="B185" s="0" t="s">
        <v>25</v>
      </c>
      <c r="C185" s="0" t="s">
        <v>68</v>
      </c>
      <c r="D185" s="0" t="s">
        <v>22</v>
      </c>
      <c r="E185" s="0" t="s">
        <v>60</v>
      </c>
      <c r="F185" s="0" t="s">
        <v>35</v>
      </c>
      <c r="G185" s="16" t="n">
        <v>49.53</v>
      </c>
      <c r="H185" s="0" t="n">
        <v>3</v>
      </c>
      <c r="I185" s="16" t="n">
        <f aca="false">G185*H185*0.05</f>
        <v>7.4295</v>
      </c>
      <c r="J185" s="16" t="n">
        <f aca="false">G185*H185*1.05</f>
        <v>156.0195</v>
      </c>
      <c r="K185" s="17" t="n">
        <v>43483</v>
      </c>
      <c r="L185" s="14" t="s">
        <v>403</v>
      </c>
      <c r="M185" s="14" t="s">
        <v>30</v>
      </c>
      <c r="N185" s="16" t="n">
        <f aca="false">G185*H185</f>
        <v>148.59</v>
      </c>
      <c r="O185" s="18" t="n">
        <v>4.761904762</v>
      </c>
      <c r="P185" s="16" t="n">
        <f aca="false">I185</f>
        <v>7.4295</v>
      </c>
      <c r="Q185" s="19" t="n">
        <v>8.6</v>
      </c>
      <c r="R185" s="0" t="str">
        <f aca="false">TEXT(K185,"mmm yyyy")</f>
        <v>Jan 2019</v>
      </c>
      <c r="S185" s="14" t="n">
        <f aca="false">HOUR(TIMEVALUE(L185))</f>
        <v>13</v>
      </c>
      <c r="T185" s="0" t="str">
        <f aca="false">IF(S185&lt;12,"Morning",IF(S185&lt;17,"Afternoon","Evening"))</f>
        <v>Afternoon</v>
      </c>
      <c r="U185" s="16" t="n">
        <f aca="false">G185*H185*0.05</f>
        <v>7.4295</v>
      </c>
    </row>
    <row r="186" customFormat="false" ht="15" hidden="false" customHeight="false" outlineLevel="0" collapsed="false">
      <c r="A186" s="0" t="s">
        <v>404</v>
      </c>
      <c r="B186" s="0" t="s">
        <v>25</v>
      </c>
      <c r="C186" s="0" t="s">
        <v>68</v>
      </c>
      <c r="D186" s="0" t="s">
        <v>22</v>
      </c>
      <c r="E186" s="0" t="s">
        <v>60</v>
      </c>
      <c r="F186" s="0" t="s">
        <v>27</v>
      </c>
      <c r="G186" s="16" t="n">
        <v>41.75</v>
      </c>
      <c r="H186" s="0" t="n">
        <v>10</v>
      </c>
      <c r="I186" s="16" t="n">
        <f aca="false">G186*H186*0.05</f>
        <v>20.875</v>
      </c>
      <c r="J186" s="16" t="n">
        <f aca="false">G186*H186*1.05</f>
        <v>438.375</v>
      </c>
      <c r="K186" s="17" t="n">
        <v>43483</v>
      </c>
      <c r="L186" s="14" t="s">
        <v>405</v>
      </c>
      <c r="M186" s="14" t="s">
        <v>30</v>
      </c>
      <c r="N186" s="16" t="n">
        <f aca="false">G186*H186</f>
        <v>417.5</v>
      </c>
      <c r="O186" s="18" t="n">
        <v>4.761904762</v>
      </c>
      <c r="P186" s="16" t="n">
        <f aca="false">I186</f>
        <v>20.875</v>
      </c>
      <c r="Q186" s="19" t="n">
        <v>6.2</v>
      </c>
      <c r="R186" s="0" t="str">
        <f aca="false">TEXT(K186,"mmm yyyy")</f>
        <v>Jan 2019</v>
      </c>
      <c r="S186" s="14" t="n">
        <f aca="false">HOUR(TIMEVALUE(L186))</f>
        <v>18</v>
      </c>
      <c r="T186" s="0" t="str">
        <f aca="false">IF(S186&lt;12,"Morning",IF(S186&lt;17,"Afternoon","Evening"))</f>
        <v>Evening</v>
      </c>
      <c r="U186" s="16" t="n">
        <f aca="false">G186*H186*0.05</f>
        <v>20.875</v>
      </c>
    </row>
    <row r="187" customFormat="false" ht="15" hidden="false" customHeight="false" outlineLevel="0" collapsed="false">
      <c r="A187" s="0" t="s">
        <v>406</v>
      </c>
      <c r="B187" s="0" t="s">
        <v>25</v>
      </c>
      <c r="C187" s="0" t="s">
        <v>68</v>
      </c>
      <c r="D187" s="0" t="s">
        <v>21</v>
      </c>
      <c r="E187" s="0" t="s">
        <v>57</v>
      </c>
      <c r="F187" s="0" t="s">
        <v>35</v>
      </c>
      <c r="G187" s="16" t="n">
        <v>36.59</v>
      </c>
      <c r="H187" s="0" t="n">
        <v>10</v>
      </c>
      <c r="I187" s="16" t="n">
        <f aca="false">G187*H187*0.05</f>
        <v>18.295</v>
      </c>
      <c r="J187" s="16" t="n">
        <f aca="false">G187*H187*1.05</f>
        <v>384.195</v>
      </c>
      <c r="K187" s="17" t="n">
        <v>43484</v>
      </c>
      <c r="L187" s="14" t="s">
        <v>407</v>
      </c>
      <c r="M187" s="14" t="s">
        <v>30</v>
      </c>
      <c r="N187" s="16" t="n">
        <f aca="false">G187*H187</f>
        <v>365.9</v>
      </c>
      <c r="O187" s="18" t="n">
        <v>4.761904762</v>
      </c>
      <c r="P187" s="16" t="n">
        <f aca="false">I187</f>
        <v>18.295</v>
      </c>
      <c r="Q187" s="19" t="n">
        <v>9.8</v>
      </c>
      <c r="R187" s="0" t="str">
        <f aca="false">TEXT(K187,"mmm yyyy")</f>
        <v>Jan 2019</v>
      </c>
      <c r="S187" s="14" t="n">
        <f aca="false">HOUR(TIMEVALUE(L187))</f>
        <v>11</v>
      </c>
      <c r="T187" s="0" t="str">
        <f aca="false">IF(S187&lt;12,"Morning",IF(S187&lt;17,"Afternoon","Evening"))</f>
        <v>Morning</v>
      </c>
      <c r="U187" s="16" t="n">
        <f aca="false">G187*H187*0.05</f>
        <v>18.295</v>
      </c>
    </row>
    <row r="188" customFormat="false" ht="15" hidden="false" customHeight="false" outlineLevel="0" collapsed="false">
      <c r="A188" s="0" t="s">
        <v>408</v>
      </c>
      <c r="B188" s="0" t="s">
        <v>33</v>
      </c>
      <c r="C188" s="0" t="s">
        <v>65</v>
      </c>
      <c r="D188" s="0" t="s">
        <v>22</v>
      </c>
      <c r="E188" s="0" t="s">
        <v>57</v>
      </c>
      <c r="F188" s="0" t="s">
        <v>36</v>
      </c>
      <c r="G188" s="16" t="n">
        <v>78.48</v>
      </c>
      <c r="H188" s="0" t="n">
        <v>3</v>
      </c>
      <c r="I188" s="16" t="n">
        <f aca="false">G188*H188*0.05</f>
        <v>11.772</v>
      </c>
      <c r="J188" s="16" t="n">
        <f aca="false">G188*H188*1.05</f>
        <v>247.212</v>
      </c>
      <c r="K188" s="17" t="n">
        <v>43484</v>
      </c>
      <c r="L188" s="14" t="s">
        <v>409</v>
      </c>
      <c r="M188" s="14" t="s">
        <v>34</v>
      </c>
      <c r="N188" s="16" t="n">
        <f aca="false">G188*H188</f>
        <v>235.44</v>
      </c>
      <c r="O188" s="18" t="n">
        <v>4.761904762</v>
      </c>
      <c r="P188" s="16" t="n">
        <f aca="false">I188</f>
        <v>11.772</v>
      </c>
      <c r="Q188" s="19" t="n">
        <v>5</v>
      </c>
      <c r="R188" s="0" t="str">
        <f aca="false">TEXT(K188,"mmm yyyy")</f>
        <v>Jan 2019</v>
      </c>
      <c r="S188" s="14" t="n">
        <f aca="false">HOUR(TIMEVALUE(L188))</f>
        <v>14</v>
      </c>
      <c r="T188" s="0" t="str">
        <f aca="false">IF(S188&lt;12,"Morning",IF(S188&lt;17,"Afternoon","Evening"))</f>
        <v>Afternoon</v>
      </c>
      <c r="U188" s="16" t="n">
        <f aca="false">G188*H188*0.05</f>
        <v>11.772</v>
      </c>
    </row>
    <row r="189" customFormat="false" ht="15" hidden="false" customHeight="false" outlineLevel="0" collapsed="false">
      <c r="A189" s="0" t="s">
        <v>410</v>
      </c>
      <c r="B189" s="0" t="s">
        <v>29</v>
      </c>
      <c r="C189" s="0" t="s">
        <v>56</v>
      </c>
      <c r="D189" s="0" t="s">
        <v>21</v>
      </c>
      <c r="E189" s="0" t="s">
        <v>57</v>
      </c>
      <c r="F189" s="0" t="s">
        <v>27</v>
      </c>
      <c r="G189" s="16" t="n">
        <v>93.19</v>
      </c>
      <c r="H189" s="0" t="n">
        <v>10</v>
      </c>
      <c r="I189" s="16" t="n">
        <f aca="false">G189*H189*0.05</f>
        <v>46.595</v>
      </c>
      <c r="J189" s="16" t="n">
        <f aca="false">G189*H189*1.05</f>
        <v>978.495</v>
      </c>
      <c r="K189" s="17" t="n">
        <v>43484</v>
      </c>
      <c r="L189" s="14" t="s">
        <v>146</v>
      </c>
      <c r="M189" s="14" t="s">
        <v>30</v>
      </c>
      <c r="N189" s="16" t="n">
        <f aca="false">G189*H189</f>
        <v>931.9</v>
      </c>
      <c r="O189" s="18" t="n">
        <v>4.761904762</v>
      </c>
      <c r="P189" s="16" t="n">
        <f aca="false">I189</f>
        <v>46.595</v>
      </c>
      <c r="Q189" s="19" t="n">
        <v>5.9</v>
      </c>
      <c r="R189" s="0" t="str">
        <f aca="false">TEXT(K189,"mmm yyyy")</f>
        <v>Jan 2019</v>
      </c>
      <c r="S189" s="14" t="n">
        <f aca="false">HOUR(TIMEVALUE(L189))</f>
        <v>17</v>
      </c>
      <c r="T189" s="0" t="str">
        <f aca="false">IF(S189&lt;12,"Morning",IF(S189&lt;17,"Afternoon","Evening"))</f>
        <v>Evening</v>
      </c>
      <c r="U189" s="16" t="n">
        <f aca="false">G189*H189*0.05</f>
        <v>46.595</v>
      </c>
    </row>
    <row r="190" customFormat="false" ht="15" hidden="false" customHeight="false" outlineLevel="0" collapsed="false">
      <c r="A190" s="0" t="s">
        <v>411</v>
      </c>
      <c r="B190" s="0" t="s">
        <v>33</v>
      </c>
      <c r="C190" s="0" t="s">
        <v>65</v>
      </c>
      <c r="D190" s="0" t="s">
        <v>22</v>
      </c>
      <c r="E190" s="0" t="s">
        <v>57</v>
      </c>
      <c r="F190" s="0" t="s">
        <v>27</v>
      </c>
      <c r="G190" s="16" t="n">
        <v>80.41</v>
      </c>
      <c r="H190" s="0" t="n">
        <v>2</v>
      </c>
      <c r="I190" s="16" t="n">
        <f aca="false">G190*H190*0.05</f>
        <v>8.041</v>
      </c>
      <c r="J190" s="16" t="n">
        <f aca="false">G190*H190*1.05</f>
        <v>168.861</v>
      </c>
      <c r="K190" s="17" t="n">
        <v>43484</v>
      </c>
      <c r="L190" s="14" t="s">
        <v>412</v>
      </c>
      <c r="M190" s="14" t="s">
        <v>26</v>
      </c>
      <c r="N190" s="16" t="n">
        <f aca="false">G190*H190</f>
        <v>160.82</v>
      </c>
      <c r="O190" s="18" t="n">
        <v>4.761904762</v>
      </c>
      <c r="P190" s="16" t="n">
        <f aca="false">I190</f>
        <v>8.041</v>
      </c>
      <c r="Q190" s="19" t="n">
        <v>6.9</v>
      </c>
      <c r="R190" s="0" t="str">
        <f aca="false">TEXT(K190,"mmm yyyy")</f>
        <v>Jan 2019</v>
      </c>
      <c r="S190" s="14" t="n">
        <f aca="false">HOUR(TIMEVALUE(L190))</f>
        <v>12</v>
      </c>
      <c r="T190" s="0" t="str">
        <f aca="false">IF(S190&lt;12,"Morning",IF(S190&lt;17,"Afternoon","Evening"))</f>
        <v>Afternoon</v>
      </c>
      <c r="U190" s="16" t="n">
        <f aca="false">G190*H190*0.05</f>
        <v>8.041</v>
      </c>
    </row>
    <row r="191" customFormat="false" ht="15" hidden="false" customHeight="false" outlineLevel="0" collapsed="false">
      <c r="A191" s="0" t="s">
        <v>413</v>
      </c>
      <c r="B191" s="0" t="s">
        <v>29</v>
      </c>
      <c r="C191" s="0" t="s">
        <v>56</v>
      </c>
      <c r="D191" s="0" t="s">
        <v>21</v>
      </c>
      <c r="E191" s="0" t="s">
        <v>57</v>
      </c>
      <c r="F191" s="0" t="s">
        <v>35</v>
      </c>
      <c r="G191" s="16" t="n">
        <v>56.89</v>
      </c>
      <c r="H191" s="0" t="n">
        <v>1</v>
      </c>
      <c r="I191" s="16" t="n">
        <f aca="false">G191*H191*0.05</f>
        <v>2.8445</v>
      </c>
      <c r="J191" s="16" t="n">
        <f aca="false">G191*H191*1.05</f>
        <v>59.7345</v>
      </c>
      <c r="K191" s="17" t="n">
        <v>43484</v>
      </c>
      <c r="L191" s="14" t="s">
        <v>116</v>
      </c>
      <c r="M191" s="14" t="s">
        <v>34</v>
      </c>
      <c r="N191" s="16" t="n">
        <f aca="false">G191*H191</f>
        <v>56.89</v>
      </c>
      <c r="O191" s="18" t="n">
        <v>4.761904762</v>
      </c>
      <c r="P191" s="16" t="n">
        <f aca="false">I191</f>
        <v>2.8445</v>
      </c>
      <c r="Q191" s="19" t="n">
        <v>6</v>
      </c>
      <c r="R191" s="0" t="str">
        <f aca="false">TEXT(K191,"mmm yyyy")</f>
        <v>Jan 2019</v>
      </c>
      <c r="S191" s="14" t="n">
        <f aca="false">HOUR(TIMEVALUE(L191))</f>
        <v>13</v>
      </c>
      <c r="T191" s="0" t="str">
        <f aca="false">IF(S191&lt;12,"Morning",IF(S191&lt;17,"Afternoon","Evening"))</f>
        <v>Afternoon</v>
      </c>
      <c r="U191" s="16" t="n">
        <f aca="false">G191*H191*0.05</f>
        <v>2.8445</v>
      </c>
    </row>
    <row r="192" customFormat="false" ht="15" hidden="false" customHeight="false" outlineLevel="0" collapsed="false">
      <c r="A192" s="0" t="s">
        <v>414</v>
      </c>
      <c r="B192" s="0" t="s">
        <v>33</v>
      </c>
      <c r="C192" s="0" t="s">
        <v>65</v>
      </c>
      <c r="D192" s="0" t="s">
        <v>21</v>
      </c>
      <c r="E192" s="0" t="s">
        <v>60</v>
      </c>
      <c r="F192" s="0" t="s">
        <v>36</v>
      </c>
      <c r="G192" s="16" t="n">
        <v>39.81</v>
      </c>
      <c r="H192" s="0" t="n">
        <v>9</v>
      </c>
      <c r="I192" s="16" t="n">
        <f aca="false">G192*H192*0.05</f>
        <v>17.9145</v>
      </c>
      <c r="J192" s="16" t="n">
        <f aca="false">G192*H192*1.05</f>
        <v>376.2045</v>
      </c>
      <c r="K192" s="17" t="n">
        <v>43484</v>
      </c>
      <c r="L192" s="14" t="s">
        <v>415</v>
      </c>
      <c r="M192" s="14" t="s">
        <v>34</v>
      </c>
      <c r="N192" s="16" t="n">
        <f aca="false">G192*H192</f>
        <v>358.29</v>
      </c>
      <c r="O192" s="18" t="n">
        <v>4.761904762</v>
      </c>
      <c r="P192" s="16" t="n">
        <f aca="false">I192</f>
        <v>17.9145</v>
      </c>
      <c r="Q192" s="19" t="n">
        <v>4</v>
      </c>
      <c r="R192" s="0" t="str">
        <f aca="false">TEXT(K192,"mmm yyyy")</f>
        <v>Jan 2019</v>
      </c>
      <c r="S192" s="14" t="n">
        <f aca="false">HOUR(TIMEVALUE(L192))</f>
        <v>15</v>
      </c>
      <c r="T192" s="0" t="str">
        <f aca="false">IF(S192&lt;12,"Morning",IF(S192&lt;17,"Afternoon","Evening"))</f>
        <v>Afternoon</v>
      </c>
      <c r="U192" s="16" t="n">
        <f aca="false">G192*H192*0.05</f>
        <v>17.9145</v>
      </c>
    </row>
    <row r="193" customFormat="false" ht="15" hidden="false" customHeight="false" outlineLevel="0" collapsed="false">
      <c r="A193" s="0" t="s">
        <v>416</v>
      </c>
      <c r="B193" s="0" t="s">
        <v>25</v>
      </c>
      <c r="C193" s="0" t="s">
        <v>68</v>
      </c>
      <c r="D193" s="0" t="s">
        <v>22</v>
      </c>
      <c r="E193" s="0" t="s">
        <v>57</v>
      </c>
      <c r="F193" s="0" t="s">
        <v>35</v>
      </c>
      <c r="G193" s="16" t="n">
        <v>56</v>
      </c>
      <c r="H193" s="0" t="n">
        <v>1</v>
      </c>
      <c r="I193" s="16" t="n">
        <f aca="false">G193*H193*0.05</f>
        <v>2.8</v>
      </c>
      <c r="J193" s="16" t="n">
        <f aca="false">G193*H193*1.05</f>
        <v>58.8</v>
      </c>
      <c r="K193" s="17" t="n">
        <v>43484</v>
      </c>
      <c r="L193" s="14" t="s">
        <v>417</v>
      </c>
      <c r="M193" s="14" t="s">
        <v>26</v>
      </c>
      <c r="N193" s="16" t="n">
        <f aca="false">G193*H193</f>
        <v>56</v>
      </c>
      <c r="O193" s="18" t="n">
        <v>4.761904762</v>
      </c>
      <c r="P193" s="16" t="n">
        <f aca="false">I193</f>
        <v>2.8</v>
      </c>
      <c r="Q193" s="19" t="n">
        <v>7.7</v>
      </c>
      <c r="R193" s="0" t="str">
        <f aca="false">TEXT(K193,"mmm yyyy")</f>
        <v>Jan 2019</v>
      </c>
      <c r="S193" s="14" t="n">
        <f aca="false">HOUR(TIMEVALUE(L193))</f>
        <v>13</v>
      </c>
      <c r="T193" s="0" t="str">
        <f aca="false">IF(S193&lt;12,"Morning",IF(S193&lt;17,"Afternoon","Evening"))</f>
        <v>Afternoon</v>
      </c>
      <c r="U193" s="16" t="n">
        <f aca="false">G193*H193*0.05</f>
        <v>2.8</v>
      </c>
    </row>
    <row r="194" customFormat="false" ht="15" hidden="false" customHeight="false" outlineLevel="0" collapsed="false">
      <c r="A194" s="0" t="s">
        <v>418</v>
      </c>
      <c r="B194" s="0" t="s">
        <v>25</v>
      </c>
      <c r="C194" s="0" t="s">
        <v>68</v>
      </c>
      <c r="D194" s="0" t="s">
        <v>22</v>
      </c>
      <c r="E194" s="0" t="s">
        <v>60</v>
      </c>
      <c r="F194" s="0" t="s">
        <v>27</v>
      </c>
      <c r="G194" s="16" t="n">
        <v>35.04</v>
      </c>
      <c r="H194" s="0" t="n">
        <v>3</v>
      </c>
      <c r="I194" s="16" t="n">
        <f aca="false">G194*H194*0.05</f>
        <v>5.256</v>
      </c>
      <c r="J194" s="16" t="n">
        <f aca="false">G194*H194*1.05</f>
        <v>110.376</v>
      </c>
      <c r="K194" s="17" t="n">
        <v>43484</v>
      </c>
      <c r="L194" s="14" t="s">
        <v>419</v>
      </c>
      <c r="M194" s="14" t="s">
        <v>34</v>
      </c>
      <c r="N194" s="16" t="n">
        <f aca="false">G194*H194</f>
        <v>105.12</v>
      </c>
      <c r="O194" s="18" t="n">
        <v>4.761904762</v>
      </c>
      <c r="P194" s="16" t="n">
        <f aca="false">I194</f>
        <v>5.256</v>
      </c>
      <c r="Q194" s="19" t="n">
        <v>6.8</v>
      </c>
      <c r="R194" s="0" t="str">
        <f aca="false">TEXT(K194,"mmm yyyy")</f>
        <v>Jan 2019</v>
      </c>
      <c r="S194" s="14" t="n">
        <f aca="false">HOUR(TIMEVALUE(L194))</f>
        <v>10</v>
      </c>
      <c r="T194" s="0" t="str">
        <f aca="false">IF(S194&lt;12,"Morning",IF(S194&lt;17,"Afternoon","Evening"))</f>
        <v>Morning</v>
      </c>
      <c r="U194" s="16" t="n">
        <f aca="false">G194*H194*0.05</f>
        <v>5.256</v>
      </c>
    </row>
    <row r="195" customFormat="false" ht="15" hidden="false" customHeight="false" outlineLevel="0" collapsed="false">
      <c r="A195" s="0" t="s">
        <v>420</v>
      </c>
      <c r="B195" s="0" t="s">
        <v>25</v>
      </c>
      <c r="C195" s="0" t="s">
        <v>68</v>
      </c>
      <c r="D195" s="0" t="s">
        <v>21</v>
      </c>
      <c r="E195" s="0" t="s">
        <v>57</v>
      </c>
      <c r="F195" s="0" t="s">
        <v>27</v>
      </c>
      <c r="G195" s="16" t="n">
        <v>36.36</v>
      </c>
      <c r="H195" s="0" t="n">
        <v>4</v>
      </c>
      <c r="I195" s="16" t="n">
        <f aca="false">G195*H195*0.05</f>
        <v>7.272</v>
      </c>
      <c r="J195" s="16" t="n">
        <f aca="false">G195*H195*1.05</f>
        <v>152.712</v>
      </c>
      <c r="K195" s="17" t="n">
        <v>43484</v>
      </c>
      <c r="L195" s="14" t="s">
        <v>421</v>
      </c>
      <c r="M195" s="14" t="s">
        <v>34</v>
      </c>
      <c r="N195" s="16" t="n">
        <f aca="false">G195*H195</f>
        <v>145.44</v>
      </c>
      <c r="O195" s="18" t="n">
        <v>4.761904762</v>
      </c>
      <c r="P195" s="16" t="n">
        <f aca="false">I195</f>
        <v>7.272</v>
      </c>
      <c r="Q195" s="19" t="n">
        <v>8.7</v>
      </c>
      <c r="R195" s="0" t="str">
        <f aca="false">TEXT(K195,"mmm yyyy")</f>
        <v>Jan 2019</v>
      </c>
      <c r="S195" s="14" t="n">
        <f aca="false">HOUR(TIMEVALUE(L195))</f>
        <v>14</v>
      </c>
      <c r="T195" s="0" t="str">
        <f aca="false">IF(S195&lt;12,"Morning",IF(S195&lt;17,"Afternoon","Evening"))</f>
        <v>Afternoon</v>
      </c>
      <c r="U195" s="16" t="n">
        <f aca="false">G195*H195*0.05</f>
        <v>7.272</v>
      </c>
    </row>
    <row r="196" customFormat="false" ht="15" hidden="false" customHeight="false" outlineLevel="0" collapsed="false">
      <c r="A196" s="0" t="s">
        <v>422</v>
      </c>
      <c r="B196" s="0" t="s">
        <v>25</v>
      </c>
      <c r="C196" s="0" t="s">
        <v>68</v>
      </c>
      <c r="D196" s="0" t="s">
        <v>22</v>
      </c>
      <c r="E196" s="0" t="s">
        <v>60</v>
      </c>
      <c r="F196" s="0" t="s">
        <v>31</v>
      </c>
      <c r="G196" s="16" t="n">
        <v>95.87</v>
      </c>
      <c r="H196" s="0" t="n">
        <v>2</v>
      </c>
      <c r="I196" s="16" t="n">
        <f aca="false">G196*H196*0.05</f>
        <v>9.587</v>
      </c>
      <c r="J196" s="16" t="n">
        <f aca="false">G196*H196*1.05</f>
        <v>201.327</v>
      </c>
      <c r="K196" s="17" t="n">
        <v>43484</v>
      </c>
      <c r="L196" s="14" t="s">
        <v>423</v>
      </c>
      <c r="M196" s="14" t="s">
        <v>30</v>
      </c>
      <c r="N196" s="16" t="n">
        <f aca="false">G196*H196</f>
        <v>191.74</v>
      </c>
      <c r="O196" s="18" t="n">
        <v>4.761904762</v>
      </c>
      <c r="P196" s="16" t="n">
        <f aca="false">I196</f>
        <v>9.587</v>
      </c>
      <c r="Q196" s="19" t="n">
        <v>4.1</v>
      </c>
      <c r="R196" s="0" t="str">
        <f aca="false">TEXT(K196,"mmm yyyy")</f>
        <v>Jan 2019</v>
      </c>
      <c r="S196" s="14" t="n">
        <f aca="false">HOUR(TIMEVALUE(L196))</f>
        <v>19</v>
      </c>
      <c r="T196" s="0" t="str">
        <f aca="false">IF(S196&lt;12,"Morning",IF(S196&lt;17,"Afternoon","Evening"))</f>
        <v>Evening</v>
      </c>
      <c r="U196" s="16" t="n">
        <f aca="false">G196*H196*0.05</f>
        <v>9.587</v>
      </c>
    </row>
    <row r="197" customFormat="false" ht="15" hidden="false" customHeight="false" outlineLevel="0" collapsed="false">
      <c r="A197" s="0" t="s">
        <v>424</v>
      </c>
      <c r="B197" s="0" t="s">
        <v>29</v>
      </c>
      <c r="C197" s="0" t="s">
        <v>56</v>
      </c>
      <c r="D197" s="0" t="s">
        <v>21</v>
      </c>
      <c r="E197" s="0" t="s">
        <v>57</v>
      </c>
      <c r="F197" s="0" t="s">
        <v>37</v>
      </c>
      <c r="G197" s="16" t="n">
        <v>84.4</v>
      </c>
      <c r="H197" s="0" t="n">
        <v>1</v>
      </c>
      <c r="I197" s="16" t="n">
        <f aca="false">G197*H197*0.05</f>
        <v>4.22</v>
      </c>
      <c r="J197" s="16" t="n">
        <f aca="false">G197*H197*1.05</f>
        <v>88.62</v>
      </c>
      <c r="K197" s="17" t="n">
        <v>43484</v>
      </c>
      <c r="L197" s="14" t="s">
        <v>425</v>
      </c>
      <c r="M197" s="14" t="s">
        <v>34</v>
      </c>
      <c r="N197" s="16" t="n">
        <f aca="false">G197*H197</f>
        <v>84.4</v>
      </c>
      <c r="O197" s="18" t="n">
        <v>4.761904762</v>
      </c>
      <c r="P197" s="16" t="n">
        <f aca="false">I197</f>
        <v>4.22</v>
      </c>
      <c r="Q197" s="19" t="n">
        <v>8.9</v>
      </c>
      <c r="R197" s="0" t="str">
        <f aca="false">TEXT(K197,"mmm yyyy")</f>
        <v>Jan 2019</v>
      </c>
      <c r="S197" s="14" t="n">
        <f aca="false">HOUR(TIMEVALUE(L197))</f>
        <v>17</v>
      </c>
      <c r="T197" s="0" t="str">
        <f aca="false">IF(S197&lt;12,"Morning",IF(S197&lt;17,"Afternoon","Evening"))</f>
        <v>Evening</v>
      </c>
      <c r="U197" s="16" t="n">
        <f aca="false">G197*H197*0.05</f>
        <v>4.22</v>
      </c>
    </row>
    <row r="198" customFormat="false" ht="15" hidden="false" customHeight="false" outlineLevel="0" collapsed="false">
      <c r="A198" s="0" t="s">
        <v>426</v>
      </c>
      <c r="B198" s="0" t="s">
        <v>25</v>
      </c>
      <c r="C198" s="0" t="s">
        <v>68</v>
      </c>
      <c r="D198" s="0" t="s">
        <v>21</v>
      </c>
      <c r="E198" s="0" t="s">
        <v>60</v>
      </c>
      <c r="F198" s="0" t="s">
        <v>27</v>
      </c>
      <c r="G198" s="16" t="n">
        <v>70.43</v>
      </c>
      <c r="H198" s="0" t="n">
        <v>1</v>
      </c>
      <c r="I198" s="16" t="n">
        <f aca="false">G198*H198*0.05</f>
        <v>3.5215</v>
      </c>
      <c r="J198" s="16" t="n">
        <f aca="false">G198*H198*1.05</f>
        <v>73.9515</v>
      </c>
      <c r="K198" s="17" t="n">
        <v>43484</v>
      </c>
      <c r="L198" s="14" t="s">
        <v>427</v>
      </c>
      <c r="M198" s="14" t="s">
        <v>26</v>
      </c>
      <c r="N198" s="16" t="n">
        <f aca="false">G198*H198</f>
        <v>70.43</v>
      </c>
      <c r="O198" s="18" t="n">
        <v>4.761904762</v>
      </c>
      <c r="P198" s="16" t="n">
        <f aca="false">I198</f>
        <v>3.5215</v>
      </c>
      <c r="Q198" s="19" t="n">
        <v>5.6</v>
      </c>
      <c r="R198" s="0" t="str">
        <f aca="false">TEXT(K198,"mmm yyyy")</f>
        <v>Jan 2019</v>
      </c>
      <c r="S198" s="14" t="n">
        <f aca="false">HOUR(TIMEVALUE(L198))</f>
        <v>18</v>
      </c>
      <c r="T198" s="0" t="str">
        <f aca="false">IF(S198&lt;12,"Morning",IF(S198&lt;17,"Afternoon","Evening"))</f>
        <v>Evening</v>
      </c>
      <c r="U198" s="16" t="n">
        <f aca="false">G198*H198*0.05</f>
        <v>3.5215</v>
      </c>
    </row>
    <row r="199" customFormat="false" ht="15" hidden="false" customHeight="false" outlineLevel="0" collapsed="false">
      <c r="A199" s="0" t="s">
        <v>428</v>
      </c>
      <c r="B199" s="0" t="s">
        <v>33</v>
      </c>
      <c r="C199" s="0" t="s">
        <v>65</v>
      </c>
      <c r="D199" s="0" t="s">
        <v>22</v>
      </c>
      <c r="E199" s="0" t="s">
        <v>57</v>
      </c>
      <c r="F199" s="0" t="s">
        <v>35</v>
      </c>
      <c r="G199" s="16" t="n">
        <v>62.17</v>
      </c>
      <c r="H199" s="0" t="n">
        <v>4</v>
      </c>
      <c r="I199" s="16" t="n">
        <f aca="false">G199*H199*0.05</f>
        <v>12.434</v>
      </c>
      <c r="J199" s="16" t="n">
        <f aca="false">G199*H199*1.05</f>
        <v>261.114</v>
      </c>
      <c r="K199" s="17" t="n">
        <v>43485</v>
      </c>
      <c r="L199" s="14" t="s">
        <v>429</v>
      </c>
      <c r="M199" s="14" t="s">
        <v>34</v>
      </c>
      <c r="N199" s="16" t="n">
        <f aca="false">G199*H199</f>
        <v>248.68</v>
      </c>
      <c r="O199" s="18" t="n">
        <v>4.761904762</v>
      </c>
      <c r="P199" s="16" t="n">
        <f aca="false">I199</f>
        <v>12.434</v>
      </c>
      <c r="Q199" s="19" t="n">
        <v>8.8</v>
      </c>
      <c r="R199" s="0" t="str">
        <f aca="false">TEXT(K199,"mmm yyyy")</f>
        <v>Jan 2019</v>
      </c>
      <c r="S199" s="14" t="n">
        <f aca="false">HOUR(TIMEVALUE(L199))</f>
        <v>20</v>
      </c>
      <c r="T199" s="0" t="str">
        <f aca="false">IF(S199&lt;12,"Morning",IF(S199&lt;17,"Afternoon","Evening"))</f>
        <v>Evening</v>
      </c>
      <c r="U199" s="16" t="n">
        <f aca="false">G199*H199*0.05</f>
        <v>12.434</v>
      </c>
    </row>
    <row r="200" customFormat="false" ht="15" hidden="false" customHeight="false" outlineLevel="0" collapsed="false">
      <c r="A200" s="0" t="s">
        <v>430</v>
      </c>
      <c r="B200" s="0" t="s">
        <v>25</v>
      </c>
      <c r="C200" s="0" t="s">
        <v>68</v>
      </c>
      <c r="D200" s="0" t="s">
        <v>21</v>
      </c>
      <c r="E200" s="0" t="s">
        <v>60</v>
      </c>
      <c r="F200" s="0" t="s">
        <v>36</v>
      </c>
      <c r="G200" s="16" t="n">
        <v>10.45</v>
      </c>
      <c r="H200" s="0" t="n">
        <v>7</v>
      </c>
      <c r="I200" s="16" t="n">
        <f aca="false">G200*H200*0.05</f>
        <v>3.6575</v>
      </c>
      <c r="J200" s="16" t="n">
        <f aca="false">G200*H200*1.05</f>
        <v>76.8075</v>
      </c>
      <c r="K200" s="17" t="n">
        <v>43485</v>
      </c>
      <c r="L200" s="14" t="s">
        <v>431</v>
      </c>
      <c r="M200" s="14" t="s">
        <v>34</v>
      </c>
      <c r="N200" s="16" t="n">
        <f aca="false">G200*H200</f>
        <v>73.15</v>
      </c>
      <c r="O200" s="18" t="n">
        <v>4.761904762</v>
      </c>
      <c r="P200" s="16" t="n">
        <f aca="false">I200</f>
        <v>3.6575</v>
      </c>
      <c r="Q200" s="19" t="n">
        <v>7.5</v>
      </c>
      <c r="R200" s="0" t="str">
        <f aca="false">TEXT(K200,"mmm yyyy")</f>
        <v>Jan 2019</v>
      </c>
      <c r="S200" s="14" t="n">
        <f aca="false">HOUR(TIMEVALUE(L200))</f>
        <v>12</v>
      </c>
      <c r="T200" s="0" t="str">
        <f aca="false">IF(S200&lt;12,"Morning",IF(S200&lt;17,"Afternoon","Evening"))</f>
        <v>Afternoon</v>
      </c>
      <c r="U200" s="16" t="n">
        <f aca="false">G200*H200*0.05</f>
        <v>3.6575</v>
      </c>
    </row>
    <row r="201" customFormat="false" ht="15" hidden="false" customHeight="false" outlineLevel="0" collapsed="false">
      <c r="A201" s="0" t="s">
        <v>432</v>
      </c>
      <c r="B201" s="0" t="s">
        <v>29</v>
      </c>
      <c r="C201" s="0" t="s">
        <v>56</v>
      </c>
      <c r="D201" s="0" t="s">
        <v>22</v>
      </c>
      <c r="E201" s="0" t="s">
        <v>60</v>
      </c>
      <c r="F201" s="0" t="s">
        <v>35</v>
      </c>
      <c r="G201" s="16" t="n">
        <v>54.01</v>
      </c>
      <c r="H201" s="0" t="n">
        <v>1</v>
      </c>
      <c r="I201" s="16" t="n">
        <f aca="false">G201*H201*0.05</f>
        <v>2.7005</v>
      </c>
      <c r="J201" s="16" t="n">
        <f aca="false">G201*H201*1.05</f>
        <v>56.7105</v>
      </c>
      <c r="K201" s="17" t="n">
        <v>43485</v>
      </c>
      <c r="L201" s="14" t="s">
        <v>433</v>
      </c>
      <c r="M201" s="14" t="s">
        <v>34</v>
      </c>
      <c r="N201" s="16" t="n">
        <f aca="false">G201*H201</f>
        <v>54.01</v>
      </c>
      <c r="O201" s="18" t="n">
        <v>4.761904762</v>
      </c>
      <c r="P201" s="16" t="n">
        <f aca="false">I201</f>
        <v>2.7005</v>
      </c>
      <c r="Q201" s="19" t="n">
        <v>9.5</v>
      </c>
      <c r="R201" s="0" t="str">
        <f aca="false">TEXT(K201,"mmm yyyy")</f>
        <v>Jan 2019</v>
      </c>
      <c r="S201" s="14" t="n">
        <f aca="false">HOUR(TIMEVALUE(L201))</f>
        <v>13</v>
      </c>
      <c r="T201" s="0" t="str">
        <f aca="false">IF(S201&lt;12,"Morning",IF(S201&lt;17,"Afternoon","Evening"))</f>
        <v>Afternoon</v>
      </c>
      <c r="U201" s="16" t="n">
        <f aca="false">G201*H201*0.05</f>
        <v>2.7005</v>
      </c>
    </row>
    <row r="202" customFormat="false" ht="15" hidden="false" customHeight="false" outlineLevel="0" collapsed="false">
      <c r="A202" s="0" t="s">
        <v>434</v>
      </c>
      <c r="B202" s="0" t="s">
        <v>25</v>
      </c>
      <c r="C202" s="0" t="s">
        <v>68</v>
      </c>
      <c r="D202" s="0" t="s">
        <v>21</v>
      </c>
      <c r="E202" s="0" t="s">
        <v>57</v>
      </c>
      <c r="F202" s="0" t="s">
        <v>35</v>
      </c>
      <c r="G202" s="16" t="n">
        <v>73.69</v>
      </c>
      <c r="H202" s="0" t="n">
        <v>1</v>
      </c>
      <c r="I202" s="16" t="n">
        <f aca="false">G202*H202*0.05</f>
        <v>3.6845</v>
      </c>
      <c r="J202" s="16" t="n">
        <f aca="false">G202*H202*1.05</f>
        <v>77.3745</v>
      </c>
      <c r="K202" s="17" t="n">
        <v>43485</v>
      </c>
      <c r="L202" s="14" t="s">
        <v>435</v>
      </c>
      <c r="M202" s="14" t="s">
        <v>30</v>
      </c>
      <c r="N202" s="16" t="n">
        <f aca="false">G202*H202</f>
        <v>73.69</v>
      </c>
      <c r="O202" s="18" t="n">
        <v>4.761904762</v>
      </c>
      <c r="P202" s="16" t="n">
        <f aca="false">I202</f>
        <v>3.6845</v>
      </c>
      <c r="Q202" s="19" t="n">
        <v>6.9</v>
      </c>
      <c r="R202" s="0" t="str">
        <f aca="false">TEXT(K202,"mmm yyyy")</f>
        <v>Jan 2019</v>
      </c>
      <c r="S202" s="14" t="n">
        <f aca="false">HOUR(TIMEVALUE(L202))</f>
        <v>15</v>
      </c>
      <c r="T202" s="0" t="str">
        <f aca="false">IF(S202&lt;12,"Morning",IF(S202&lt;17,"Afternoon","Evening"))</f>
        <v>Afternoon</v>
      </c>
      <c r="U202" s="16" t="n">
        <f aca="false">G202*H202*0.05</f>
        <v>3.6845</v>
      </c>
    </row>
    <row r="203" customFormat="false" ht="15" hidden="false" customHeight="false" outlineLevel="0" collapsed="false">
      <c r="A203" s="0" t="s">
        <v>436</v>
      </c>
      <c r="B203" s="0" t="s">
        <v>33</v>
      </c>
      <c r="C203" s="0" t="s">
        <v>65</v>
      </c>
      <c r="D203" s="0" t="s">
        <v>22</v>
      </c>
      <c r="E203" s="0" t="s">
        <v>60</v>
      </c>
      <c r="F203" s="0" t="s">
        <v>27</v>
      </c>
      <c r="G203" s="16" t="n">
        <v>86</v>
      </c>
      <c r="H203" s="0" t="n">
        <v>7</v>
      </c>
      <c r="I203" s="16" t="n">
        <f aca="false">G203*H203*0.05</f>
        <v>30.1</v>
      </c>
      <c r="J203" s="16" t="n">
        <f aca="false">G203*H203*1.05</f>
        <v>632.1</v>
      </c>
      <c r="K203" s="17" t="n">
        <v>43485</v>
      </c>
      <c r="L203" s="14" t="s">
        <v>437</v>
      </c>
      <c r="M203" s="14" t="s">
        <v>34</v>
      </c>
      <c r="N203" s="16" t="n">
        <f aca="false">G203*H203</f>
        <v>602</v>
      </c>
      <c r="O203" s="18" t="n">
        <v>4.761904762</v>
      </c>
      <c r="P203" s="16" t="n">
        <f aca="false">I203</f>
        <v>30.1</v>
      </c>
      <c r="Q203" s="19" t="n">
        <v>5.1</v>
      </c>
      <c r="R203" s="0" t="str">
        <f aca="false">TEXT(K203,"mmm yyyy")</f>
        <v>Jan 2019</v>
      </c>
      <c r="S203" s="14" t="n">
        <f aca="false">HOUR(TIMEVALUE(L203))</f>
        <v>20</v>
      </c>
      <c r="T203" s="0" t="str">
        <f aca="false">IF(S203&lt;12,"Morning",IF(S203&lt;17,"Afternoon","Evening"))</f>
        <v>Evening</v>
      </c>
      <c r="U203" s="16" t="n">
        <f aca="false">G203*H203*0.05</f>
        <v>30.1</v>
      </c>
    </row>
    <row r="204" customFormat="false" ht="15" hidden="false" customHeight="false" outlineLevel="0" collapsed="false">
      <c r="A204" s="0" t="s">
        <v>438</v>
      </c>
      <c r="B204" s="0" t="s">
        <v>33</v>
      </c>
      <c r="C204" s="0" t="s">
        <v>65</v>
      </c>
      <c r="D204" s="0" t="s">
        <v>22</v>
      </c>
      <c r="E204" s="0" t="s">
        <v>57</v>
      </c>
      <c r="F204" s="0" t="s">
        <v>37</v>
      </c>
      <c r="G204" s="16" t="n">
        <v>10.22</v>
      </c>
      <c r="H204" s="0" t="n">
        <v>1</v>
      </c>
      <c r="I204" s="16" t="n">
        <f aca="false">G204*H204*0.05</f>
        <v>0.511</v>
      </c>
      <c r="J204" s="16" t="n">
        <f aca="false">G204*H204*1.05</f>
        <v>10.731</v>
      </c>
      <c r="K204" s="17" t="n">
        <v>43485</v>
      </c>
      <c r="L204" s="14" t="s">
        <v>439</v>
      </c>
      <c r="M204" s="14" t="s">
        <v>30</v>
      </c>
      <c r="N204" s="16" t="n">
        <f aca="false">G204*H204</f>
        <v>10.22</v>
      </c>
      <c r="O204" s="18" t="n">
        <v>4.761904762</v>
      </c>
      <c r="P204" s="16" t="n">
        <f aca="false">I204</f>
        <v>0.511</v>
      </c>
      <c r="Q204" s="19" t="n">
        <v>5.5</v>
      </c>
      <c r="R204" s="0" t="str">
        <f aca="false">TEXT(K204,"mmm yyyy")</f>
        <v>Jan 2019</v>
      </c>
      <c r="S204" s="14" t="n">
        <f aca="false">HOUR(TIMEVALUE(L204))</f>
        <v>15</v>
      </c>
      <c r="T204" s="0" t="str">
        <f aca="false">IF(S204&lt;12,"Morning",IF(S204&lt;17,"Afternoon","Evening"))</f>
        <v>Afternoon</v>
      </c>
      <c r="U204" s="16" t="n">
        <f aca="false">G204*H204*0.05</f>
        <v>0.511</v>
      </c>
    </row>
    <row r="205" customFormat="false" ht="15" hidden="false" customHeight="false" outlineLevel="0" collapsed="false">
      <c r="A205" s="0" t="s">
        <v>440</v>
      </c>
      <c r="B205" s="0" t="s">
        <v>25</v>
      </c>
      <c r="C205" s="0" t="s">
        <v>68</v>
      </c>
      <c r="D205" s="0" t="s">
        <v>22</v>
      </c>
      <c r="E205" s="0" t="s">
        <v>57</v>
      </c>
      <c r="F205" s="0" t="s">
        <v>35</v>
      </c>
      <c r="G205" s="16" t="n">
        <v>38.01</v>
      </c>
      <c r="H205" s="0" t="n">
        <v>9</v>
      </c>
      <c r="I205" s="16" t="n">
        <f aca="false">G205*H205*0.05</f>
        <v>17.1045</v>
      </c>
      <c r="J205" s="16" t="n">
        <f aca="false">G205*H205*1.05</f>
        <v>359.1945</v>
      </c>
      <c r="K205" s="17" t="n">
        <v>43485</v>
      </c>
      <c r="L205" s="14" t="s">
        <v>297</v>
      </c>
      <c r="M205" s="14" t="s">
        <v>26</v>
      </c>
      <c r="N205" s="16" t="n">
        <f aca="false">G205*H205</f>
        <v>342.09</v>
      </c>
      <c r="O205" s="18" t="n">
        <v>4.761904762</v>
      </c>
      <c r="P205" s="16" t="n">
        <f aca="false">I205</f>
        <v>17.1045</v>
      </c>
      <c r="Q205" s="19" t="n">
        <v>9.8</v>
      </c>
      <c r="R205" s="0" t="str">
        <f aca="false">TEXT(K205,"mmm yyyy")</f>
        <v>Jan 2019</v>
      </c>
      <c r="S205" s="14" t="n">
        <f aca="false">HOUR(TIMEVALUE(L205))</f>
        <v>13</v>
      </c>
      <c r="T205" s="0" t="str">
        <f aca="false">IF(S205&lt;12,"Morning",IF(S205&lt;17,"Afternoon","Evening"))</f>
        <v>Afternoon</v>
      </c>
      <c r="U205" s="16" t="n">
        <f aca="false">G205*H205*0.05</f>
        <v>17.1045</v>
      </c>
    </row>
    <row r="206" customFormat="false" ht="15" hidden="false" customHeight="false" outlineLevel="0" collapsed="false">
      <c r="A206" s="0" t="s">
        <v>441</v>
      </c>
      <c r="B206" s="0" t="s">
        <v>25</v>
      </c>
      <c r="C206" s="0" t="s">
        <v>68</v>
      </c>
      <c r="D206" s="0" t="s">
        <v>22</v>
      </c>
      <c r="E206" s="0" t="s">
        <v>60</v>
      </c>
      <c r="F206" s="0" t="s">
        <v>27</v>
      </c>
      <c r="G206" s="16" t="n">
        <v>18.85</v>
      </c>
      <c r="H206" s="0" t="n">
        <v>10</v>
      </c>
      <c r="I206" s="16" t="n">
        <f aca="false">G206*H206*0.05</f>
        <v>9.425</v>
      </c>
      <c r="J206" s="16" t="n">
        <f aca="false">G206*H206*1.05</f>
        <v>197.925</v>
      </c>
      <c r="K206" s="17" t="n">
        <v>43485</v>
      </c>
      <c r="L206" s="14" t="s">
        <v>442</v>
      </c>
      <c r="M206" s="14" t="s">
        <v>30</v>
      </c>
      <c r="N206" s="16" t="n">
        <f aca="false">G206*H206</f>
        <v>188.5</v>
      </c>
      <c r="O206" s="18" t="n">
        <v>4.761904762</v>
      </c>
      <c r="P206" s="16" t="n">
        <f aca="false">I206</f>
        <v>9.425</v>
      </c>
      <c r="Q206" s="19" t="n">
        <v>9.3</v>
      </c>
      <c r="R206" s="0" t="str">
        <f aca="false">TEXT(K206,"mmm yyyy")</f>
        <v>Jan 2019</v>
      </c>
      <c r="S206" s="14" t="n">
        <f aca="false">HOUR(TIMEVALUE(L206))</f>
        <v>20</v>
      </c>
      <c r="T206" s="0" t="str">
        <f aca="false">IF(S206&lt;12,"Morning",IF(S206&lt;17,"Afternoon","Evening"))</f>
        <v>Evening</v>
      </c>
      <c r="U206" s="16" t="n">
        <f aca="false">G206*H206*0.05</f>
        <v>9.425</v>
      </c>
    </row>
    <row r="207" customFormat="false" ht="15" hidden="false" customHeight="false" outlineLevel="0" collapsed="false">
      <c r="A207" s="0" t="s">
        <v>443</v>
      </c>
      <c r="B207" s="0" t="s">
        <v>25</v>
      </c>
      <c r="C207" s="0" t="s">
        <v>68</v>
      </c>
      <c r="D207" s="0" t="s">
        <v>21</v>
      </c>
      <c r="E207" s="0" t="s">
        <v>60</v>
      </c>
      <c r="F207" s="0" t="s">
        <v>27</v>
      </c>
      <c r="G207" s="16" t="n">
        <v>35.94</v>
      </c>
      <c r="H207" s="0" t="n">
        <v>5</v>
      </c>
      <c r="I207" s="16" t="n">
        <f aca="false">G207*H207*0.05</f>
        <v>8.985</v>
      </c>
      <c r="J207" s="16" t="n">
        <f aca="false">G207*H207*1.05</f>
        <v>188.685</v>
      </c>
      <c r="K207" s="17" t="n">
        <v>43485</v>
      </c>
      <c r="L207" s="14" t="s">
        <v>444</v>
      </c>
      <c r="M207" s="14" t="s">
        <v>30</v>
      </c>
      <c r="N207" s="16" t="n">
        <f aca="false">G207*H207</f>
        <v>179.7</v>
      </c>
      <c r="O207" s="18" t="n">
        <v>4.761904762</v>
      </c>
      <c r="P207" s="16" t="n">
        <f aca="false">I207</f>
        <v>8.985</v>
      </c>
      <c r="Q207" s="19" t="n">
        <v>6.4</v>
      </c>
      <c r="R207" s="0" t="str">
        <f aca="false">TEXT(K207,"mmm yyyy")</f>
        <v>Jan 2019</v>
      </c>
      <c r="S207" s="14" t="n">
        <f aca="false">HOUR(TIMEVALUE(L207))</f>
        <v>11</v>
      </c>
      <c r="T207" s="0" t="str">
        <f aca="false">IF(S207&lt;12,"Morning",IF(S207&lt;17,"Afternoon","Evening"))</f>
        <v>Morning</v>
      </c>
      <c r="U207" s="16" t="n">
        <f aca="false">G207*H207*0.05</f>
        <v>8.985</v>
      </c>
    </row>
    <row r="208" customFormat="false" ht="15" hidden="false" customHeight="false" outlineLevel="0" collapsed="false">
      <c r="A208" s="0" t="s">
        <v>445</v>
      </c>
      <c r="B208" s="0" t="s">
        <v>33</v>
      </c>
      <c r="C208" s="0" t="s">
        <v>65</v>
      </c>
      <c r="D208" s="0" t="s">
        <v>21</v>
      </c>
      <c r="E208" s="0" t="s">
        <v>60</v>
      </c>
      <c r="F208" s="0" t="s">
        <v>31</v>
      </c>
      <c r="G208" s="16" t="n">
        <v>39.6</v>
      </c>
      <c r="H208" s="0" t="n">
        <v>6</v>
      </c>
      <c r="I208" s="16" t="n">
        <f aca="false">G208*H208*0.05</f>
        <v>11.88</v>
      </c>
      <c r="J208" s="16" t="n">
        <f aca="false">G208*H208*1.05</f>
        <v>249.48</v>
      </c>
      <c r="K208" s="17" t="n">
        <v>43485</v>
      </c>
      <c r="L208" s="14" t="s">
        <v>446</v>
      </c>
      <c r="M208" s="14" t="s">
        <v>26</v>
      </c>
      <c r="N208" s="16" t="n">
        <f aca="false">G208*H208</f>
        <v>237.6</v>
      </c>
      <c r="O208" s="18" t="n">
        <v>4.761904762</v>
      </c>
      <c r="P208" s="16" t="n">
        <f aca="false">I208</f>
        <v>11.88</v>
      </c>
      <c r="Q208" s="19" t="n">
        <v>6.4</v>
      </c>
      <c r="R208" s="0" t="str">
        <f aca="false">TEXT(K208,"mmm yyyy")</f>
        <v>Jan 2019</v>
      </c>
      <c r="S208" s="14" t="n">
        <f aca="false">HOUR(TIMEVALUE(L208))</f>
        <v>20</v>
      </c>
      <c r="T208" s="0" t="str">
        <f aca="false">IF(S208&lt;12,"Morning",IF(S208&lt;17,"Afternoon","Evening"))</f>
        <v>Evening</v>
      </c>
      <c r="U208" s="16" t="n">
        <f aca="false">G208*H208*0.05</f>
        <v>11.88</v>
      </c>
    </row>
    <row r="209" customFormat="false" ht="15" hidden="false" customHeight="false" outlineLevel="0" collapsed="false">
      <c r="A209" s="0" t="s">
        <v>447</v>
      </c>
      <c r="B209" s="0" t="s">
        <v>33</v>
      </c>
      <c r="C209" s="0" t="s">
        <v>65</v>
      </c>
      <c r="D209" s="0" t="s">
        <v>22</v>
      </c>
      <c r="E209" s="0" t="s">
        <v>57</v>
      </c>
      <c r="F209" s="0" t="s">
        <v>35</v>
      </c>
      <c r="G209" s="16" t="n">
        <v>22.17</v>
      </c>
      <c r="H209" s="0" t="n">
        <v>6</v>
      </c>
      <c r="I209" s="16" t="n">
        <f aca="false">G209*H209*0.05</f>
        <v>6.651</v>
      </c>
      <c r="J209" s="16" t="n">
        <f aca="false">G209*H209*1.05</f>
        <v>139.671</v>
      </c>
      <c r="K209" s="17" t="n">
        <v>43485</v>
      </c>
      <c r="L209" s="14" t="s">
        <v>448</v>
      </c>
      <c r="M209" s="14" t="s">
        <v>34</v>
      </c>
      <c r="N209" s="16" t="n">
        <f aca="false">G209*H209</f>
        <v>133.02</v>
      </c>
      <c r="O209" s="18" t="n">
        <v>4.761904762</v>
      </c>
      <c r="P209" s="16" t="n">
        <f aca="false">I209</f>
        <v>6.651</v>
      </c>
      <c r="Q209" s="19" t="n">
        <v>4.4</v>
      </c>
      <c r="R209" s="0" t="str">
        <f aca="false">TEXT(K209,"mmm yyyy")</f>
        <v>Jan 2019</v>
      </c>
      <c r="S209" s="14" t="n">
        <f aca="false">HOUR(TIMEVALUE(L209))</f>
        <v>16</v>
      </c>
      <c r="T209" s="0" t="str">
        <f aca="false">IF(S209&lt;12,"Morning",IF(S209&lt;17,"Afternoon","Evening"))</f>
        <v>Afternoon</v>
      </c>
      <c r="U209" s="16" t="n">
        <f aca="false">G209*H209*0.05</f>
        <v>6.651</v>
      </c>
    </row>
    <row r="210" customFormat="false" ht="15" hidden="false" customHeight="false" outlineLevel="0" collapsed="false">
      <c r="A210" s="0" t="s">
        <v>449</v>
      </c>
      <c r="B210" s="0" t="s">
        <v>33</v>
      </c>
      <c r="C210" s="0" t="s">
        <v>65</v>
      </c>
      <c r="D210" s="0" t="s">
        <v>22</v>
      </c>
      <c r="E210" s="0" t="s">
        <v>60</v>
      </c>
      <c r="F210" s="0" t="s">
        <v>31</v>
      </c>
      <c r="G210" s="16" t="n">
        <v>47.01</v>
      </c>
      <c r="H210" s="0" t="n">
        <v>5</v>
      </c>
      <c r="I210" s="16" t="n">
        <f aca="false">G210*H210*0.05</f>
        <v>11.7525</v>
      </c>
      <c r="J210" s="16" t="n">
        <f aca="false">G210*H210*1.05</f>
        <v>246.8025</v>
      </c>
      <c r="K210" s="17" t="n">
        <v>43485</v>
      </c>
      <c r="L210" s="14" t="s">
        <v>450</v>
      </c>
      <c r="M210" s="14" t="s">
        <v>30</v>
      </c>
      <c r="N210" s="16" t="n">
        <f aca="false">G210*H210</f>
        <v>235.05</v>
      </c>
      <c r="O210" s="18" t="n">
        <v>4.761904762</v>
      </c>
      <c r="P210" s="16" t="n">
        <f aca="false">I210</f>
        <v>11.7525</v>
      </c>
      <c r="Q210" s="19" t="n">
        <v>7.3</v>
      </c>
      <c r="R210" s="0" t="str">
        <f aca="false">TEXT(K210,"mmm yyyy")</f>
        <v>Jan 2019</v>
      </c>
      <c r="S210" s="14" t="n">
        <f aca="false">HOUR(TIMEVALUE(L210))</f>
        <v>12</v>
      </c>
      <c r="T210" s="0" t="str">
        <f aca="false">IF(S210&lt;12,"Morning",IF(S210&lt;17,"Afternoon","Evening"))</f>
        <v>Afternoon</v>
      </c>
      <c r="U210" s="16" t="n">
        <f aca="false">G210*H210*0.05</f>
        <v>11.7525</v>
      </c>
    </row>
    <row r="211" customFormat="false" ht="15" hidden="false" customHeight="false" outlineLevel="0" collapsed="false">
      <c r="A211" s="0" t="s">
        <v>451</v>
      </c>
      <c r="B211" s="0" t="s">
        <v>25</v>
      </c>
      <c r="C211" s="0" t="s">
        <v>68</v>
      </c>
      <c r="D211" s="0" t="s">
        <v>22</v>
      </c>
      <c r="E211" s="0" t="s">
        <v>57</v>
      </c>
      <c r="F211" s="0" t="s">
        <v>37</v>
      </c>
      <c r="G211" s="16" t="n">
        <v>88.74</v>
      </c>
      <c r="H211" s="0" t="n">
        <v>8</v>
      </c>
      <c r="I211" s="16" t="n">
        <f aca="false">G211*H211*0.05</f>
        <v>35.496</v>
      </c>
      <c r="J211" s="16" t="n">
        <f aca="false">G211*H211*1.05</f>
        <v>745.416</v>
      </c>
      <c r="K211" s="17" t="n">
        <v>43485</v>
      </c>
      <c r="L211" s="14" t="s">
        <v>452</v>
      </c>
      <c r="M211" s="14" t="s">
        <v>26</v>
      </c>
      <c r="N211" s="16" t="n">
        <f aca="false">G211*H211</f>
        <v>709.92</v>
      </c>
      <c r="O211" s="18" t="n">
        <v>4.761904762</v>
      </c>
      <c r="P211" s="16" t="n">
        <f aca="false">I211</f>
        <v>35.496</v>
      </c>
      <c r="Q211" s="19" t="n">
        <v>4.3</v>
      </c>
      <c r="R211" s="0" t="str">
        <f aca="false">TEXT(K211,"mmm yyyy")</f>
        <v>Jan 2019</v>
      </c>
      <c r="S211" s="14" t="n">
        <f aca="false">HOUR(TIMEVALUE(L211))</f>
        <v>11</v>
      </c>
      <c r="T211" s="0" t="str">
        <f aca="false">IF(S211&lt;12,"Morning",IF(S211&lt;17,"Afternoon","Evening"))</f>
        <v>Morning</v>
      </c>
      <c r="U211" s="16" t="n">
        <f aca="false">G211*H211*0.05</f>
        <v>35.496</v>
      </c>
    </row>
    <row r="212" customFormat="false" ht="15" hidden="false" customHeight="false" outlineLevel="0" collapsed="false">
      <c r="A212" s="0" t="s">
        <v>453</v>
      </c>
      <c r="B212" s="0" t="s">
        <v>33</v>
      </c>
      <c r="C212" s="0" t="s">
        <v>65</v>
      </c>
      <c r="D212" s="0" t="s">
        <v>22</v>
      </c>
      <c r="E212" s="0" t="s">
        <v>60</v>
      </c>
      <c r="F212" s="0" t="s">
        <v>36</v>
      </c>
      <c r="G212" s="16" t="n">
        <v>46.87</v>
      </c>
      <c r="H212" s="0" t="n">
        <v>5</v>
      </c>
      <c r="I212" s="16" t="n">
        <f aca="false">G212*H212*0.05</f>
        <v>11.7175</v>
      </c>
      <c r="J212" s="16" t="n">
        <f aca="false">G212*H212*1.05</f>
        <v>246.0675</v>
      </c>
      <c r="K212" s="17" t="n">
        <v>43485</v>
      </c>
      <c r="L212" s="14" t="s">
        <v>246</v>
      </c>
      <c r="M212" s="14" t="s">
        <v>34</v>
      </c>
      <c r="N212" s="16" t="n">
        <f aca="false">G212*H212</f>
        <v>234.35</v>
      </c>
      <c r="O212" s="18" t="n">
        <v>4.761904762</v>
      </c>
      <c r="P212" s="16" t="n">
        <f aca="false">I212</f>
        <v>11.7175</v>
      </c>
      <c r="Q212" s="19" t="n">
        <v>7.5</v>
      </c>
      <c r="R212" s="0" t="str">
        <f aca="false">TEXT(K212,"mmm yyyy")</f>
        <v>Jan 2019</v>
      </c>
      <c r="S212" s="14" t="n">
        <f aca="false">HOUR(TIMEVALUE(L212))</f>
        <v>16</v>
      </c>
      <c r="T212" s="0" t="str">
        <f aca="false">IF(S212&lt;12,"Morning",IF(S212&lt;17,"Afternoon","Evening"))</f>
        <v>Afternoon</v>
      </c>
      <c r="U212" s="16" t="n">
        <f aca="false">G212*H212*0.05</f>
        <v>11.7175</v>
      </c>
    </row>
    <row r="213" customFormat="false" ht="15" hidden="false" customHeight="false" outlineLevel="0" collapsed="false">
      <c r="A213" s="0" t="s">
        <v>454</v>
      </c>
      <c r="B213" s="0" t="s">
        <v>25</v>
      </c>
      <c r="C213" s="0" t="s">
        <v>68</v>
      </c>
      <c r="D213" s="0" t="s">
        <v>22</v>
      </c>
      <c r="E213" s="0" t="s">
        <v>57</v>
      </c>
      <c r="F213" s="0" t="s">
        <v>27</v>
      </c>
      <c r="G213" s="16" t="n">
        <v>54.24</v>
      </c>
      <c r="H213" s="0" t="n">
        <v>4</v>
      </c>
      <c r="I213" s="16" t="n">
        <f aca="false">G213*H213*0.05</f>
        <v>10.848</v>
      </c>
      <c r="J213" s="16" t="n">
        <f aca="false">G213*H213*1.05</f>
        <v>227.808</v>
      </c>
      <c r="K213" s="17" t="n">
        <v>43485</v>
      </c>
      <c r="L213" s="14" t="s">
        <v>455</v>
      </c>
      <c r="M213" s="14" t="s">
        <v>26</v>
      </c>
      <c r="N213" s="16" t="n">
        <f aca="false">G213*H213</f>
        <v>216.96</v>
      </c>
      <c r="O213" s="18" t="n">
        <v>4.761904762</v>
      </c>
      <c r="P213" s="16" t="n">
        <f aca="false">I213</f>
        <v>10.848</v>
      </c>
      <c r="Q213" s="19" t="n">
        <v>7.5</v>
      </c>
      <c r="R213" s="0" t="str">
        <f aca="false">TEXT(K213,"mmm yyyy")</f>
        <v>Jan 2019</v>
      </c>
      <c r="S213" s="14" t="n">
        <f aca="false">HOUR(TIMEVALUE(L213))</f>
        <v>11</v>
      </c>
      <c r="T213" s="0" t="str">
        <f aca="false">IF(S213&lt;12,"Morning",IF(S213&lt;17,"Afternoon","Evening"))</f>
        <v>Morning</v>
      </c>
      <c r="U213" s="16" t="n">
        <f aca="false">G213*H213*0.05</f>
        <v>10.848</v>
      </c>
    </row>
    <row r="214" customFormat="false" ht="15" hidden="false" customHeight="false" outlineLevel="0" collapsed="false">
      <c r="A214" s="0" t="s">
        <v>456</v>
      </c>
      <c r="B214" s="0" t="s">
        <v>25</v>
      </c>
      <c r="C214" s="0" t="s">
        <v>68</v>
      </c>
      <c r="D214" s="0" t="s">
        <v>21</v>
      </c>
      <c r="E214" s="0" t="s">
        <v>57</v>
      </c>
      <c r="F214" s="0" t="s">
        <v>35</v>
      </c>
      <c r="G214" s="16" t="n">
        <v>87.47</v>
      </c>
      <c r="H214" s="0" t="n">
        <v>4</v>
      </c>
      <c r="I214" s="16" t="n">
        <f aca="false">G214*H214*0.05</f>
        <v>17.494</v>
      </c>
      <c r="J214" s="16" t="n">
        <f aca="false">G214*H214*1.05</f>
        <v>367.374</v>
      </c>
      <c r="K214" s="17" t="n">
        <v>43485</v>
      </c>
      <c r="L214" s="14" t="s">
        <v>168</v>
      </c>
      <c r="M214" s="14" t="s">
        <v>34</v>
      </c>
      <c r="N214" s="16" t="n">
        <f aca="false">G214*H214</f>
        <v>349.88</v>
      </c>
      <c r="O214" s="18" t="n">
        <v>4.761904762</v>
      </c>
      <c r="P214" s="16" t="n">
        <f aca="false">I214</f>
        <v>17.494</v>
      </c>
      <c r="Q214" s="19" t="n">
        <v>8.5</v>
      </c>
      <c r="R214" s="0" t="str">
        <f aca="false">TEXT(K214,"mmm yyyy")</f>
        <v>Jan 2019</v>
      </c>
      <c r="S214" s="14" t="n">
        <f aca="false">HOUR(TIMEVALUE(L214))</f>
        <v>15</v>
      </c>
      <c r="T214" s="0" t="str">
        <f aca="false">IF(S214&lt;12,"Morning",IF(S214&lt;17,"Afternoon","Evening"))</f>
        <v>Afternoon</v>
      </c>
      <c r="U214" s="16" t="n">
        <f aca="false">G214*H214*0.05</f>
        <v>17.494</v>
      </c>
    </row>
    <row r="215" customFormat="false" ht="15" hidden="false" customHeight="false" outlineLevel="0" collapsed="false">
      <c r="A215" s="0" t="s">
        <v>457</v>
      </c>
      <c r="B215" s="0" t="s">
        <v>33</v>
      </c>
      <c r="C215" s="0" t="s">
        <v>65</v>
      </c>
      <c r="D215" s="0" t="s">
        <v>21</v>
      </c>
      <c r="E215" s="0" t="s">
        <v>60</v>
      </c>
      <c r="F215" s="0" t="s">
        <v>35</v>
      </c>
      <c r="G215" s="16" t="n">
        <v>30.38</v>
      </c>
      <c r="H215" s="0" t="n">
        <v>3</v>
      </c>
      <c r="I215" s="16" t="n">
        <f aca="false">G215*H215*0.05</f>
        <v>4.557</v>
      </c>
      <c r="J215" s="16" t="n">
        <f aca="false">G215*H215*1.05</f>
        <v>95.697</v>
      </c>
      <c r="K215" s="17" t="n">
        <v>43485</v>
      </c>
      <c r="L215" s="14" t="s">
        <v>350</v>
      </c>
      <c r="M215" s="14" t="s">
        <v>34</v>
      </c>
      <c r="N215" s="16" t="n">
        <f aca="false">G215*H215</f>
        <v>91.14</v>
      </c>
      <c r="O215" s="18" t="n">
        <v>4.761904762</v>
      </c>
      <c r="P215" s="16" t="n">
        <f aca="false">I215</f>
        <v>4.557</v>
      </c>
      <c r="Q215" s="19" t="n">
        <v>4.9</v>
      </c>
      <c r="R215" s="0" t="str">
        <f aca="false">TEXT(K215,"mmm yyyy")</f>
        <v>Jan 2019</v>
      </c>
      <c r="S215" s="14" t="n">
        <f aca="false">HOUR(TIMEVALUE(L215))</f>
        <v>16</v>
      </c>
      <c r="T215" s="0" t="str">
        <f aca="false">IF(S215&lt;12,"Morning",IF(S215&lt;17,"Afternoon","Evening"))</f>
        <v>Afternoon</v>
      </c>
      <c r="U215" s="16" t="n">
        <f aca="false">G215*H215*0.05</f>
        <v>4.557</v>
      </c>
    </row>
    <row r="216" customFormat="false" ht="15" hidden="false" customHeight="false" outlineLevel="0" collapsed="false">
      <c r="A216" s="0" t="s">
        <v>458</v>
      </c>
      <c r="B216" s="0" t="s">
        <v>25</v>
      </c>
      <c r="C216" s="0" t="s">
        <v>68</v>
      </c>
      <c r="D216" s="0" t="s">
        <v>21</v>
      </c>
      <c r="E216" s="0" t="s">
        <v>60</v>
      </c>
      <c r="F216" s="0" t="s">
        <v>31</v>
      </c>
      <c r="G216" s="16" t="n">
        <v>64.56</v>
      </c>
      <c r="H216" s="0" t="n">
        <v>2</v>
      </c>
      <c r="I216" s="16" t="n">
        <f aca="false">G216*H216*0.05</f>
        <v>6.456</v>
      </c>
      <c r="J216" s="16" t="n">
        <f aca="false">G216*H216*1.05</f>
        <v>135.576</v>
      </c>
      <c r="K216" s="17" t="n">
        <v>43486</v>
      </c>
      <c r="L216" s="14" t="s">
        <v>459</v>
      </c>
      <c r="M216" s="14" t="s">
        <v>34</v>
      </c>
      <c r="N216" s="16" t="n">
        <f aca="false">G216*H216</f>
        <v>129.12</v>
      </c>
      <c r="O216" s="18" t="n">
        <v>4.761904762</v>
      </c>
      <c r="P216" s="16" t="n">
        <f aca="false">I216</f>
        <v>6.456</v>
      </c>
      <c r="Q216" s="19" t="n">
        <v>8.4</v>
      </c>
      <c r="R216" s="0" t="str">
        <f aca="false">TEXT(K216,"mmm yyyy")</f>
        <v>Jan 2019</v>
      </c>
      <c r="S216" s="14" t="n">
        <f aca="false">HOUR(TIMEVALUE(L216))</f>
        <v>20</v>
      </c>
      <c r="T216" s="0" t="str">
        <f aca="false">IF(S216&lt;12,"Morning",IF(S216&lt;17,"Afternoon","Evening"))</f>
        <v>Evening</v>
      </c>
      <c r="U216" s="16" t="n">
        <f aca="false">G216*H216*0.05</f>
        <v>6.456</v>
      </c>
    </row>
    <row r="217" customFormat="false" ht="15" hidden="false" customHeight="false" outlineLevel="0" collapsed="false">
      <c r="A217" s="0" t="s">
        <v>460</v>
      </c>
      <c r="B217" s="0" t="s">
        <v>33</v>
      </c>
      <c r="C217" s="0" t="s">
        <v>65</v>
      </c>
      <c r="D217" s="0" t="s">
        <v>22</v>
      </c>
      <c r="E217" s="0" t="s">
        <v>60</v>
      </c>
      <c r="F217" s="0" t="s">
        <v>37</v>
      </c>
      <c r="G217" s="16" t="n">
        <v>13.02</v>
      </c>
      <c r="H217" s="0" t="n">
        <v>2</v>
      </c>
      <c r="I217" s="16" t="n">
        <f aca="false">G217*H217*0.05</f>
        <v>1.302</v>
      </c>
      <c r="J217" s="16" t="n">
        <f aca="false">G217*H217*1.05</f>
        <v>27.342</v>
      </c>
      <c r="K217" s="17" t="n">
        <v>43486</v>
      </c>
      <c r="L217" s="14" t="s">
        <v>461</v>
      </c>
      <c r="M217" s="14" t="s">
        <v>26</v>
      </c>
      <c r="N217" s="16" t="n">
        <f aca="false">G217*H217</f>
        <v>26.04</v>
      </c>
      <c r="O217" s="18" t="n">
        <v>4.761904762</v>
      </c>
      <c r="P217" s="16" t="n">
        <f aca="false">I217</f>
        <v>1.302</v>
      </c>
      <c r="Q217" s="19" t="n">
        <v>6.3</v>
      </c>
      <c r="R217" s="0" t="str">
        <f aca="false">TEXT(K217,"mmm yyyy")</f>
        <v>Jan 2019</v>
      </c>
      <c r="S217" s="14" t="n">
        <f aca="false">HOUR(TIMEVALUE(L217))</f>
        <v>19</v>
      </c>
      <c r="T217" s="0" t="str">
        <f aca="false">IF(S217&lt;12,"Morning",IF(S217&lt;17,"Afternoon","Evening"))</f>
        <v>Evening</v>
      </c>
      <c r="U217" s="16" t="n">
        <f aca="false">G217*H217*0.05</f>
        <v>1.302</v>
      </c>
    </row>
    <row r="218" customFormat="false" ht="15" hidden="false" customHeight="false" outlineLevel="0" collapsed="false">
      <c r="A218" s="0" t="s">
        <v>462</v>
      </c>
      <c r="B218" s="0" t="s">
        <v>33</v>
      </c>
      <c r="C218" s="0" t="s">
        <v>65</v>
      </c>
      <c r="D218" s="0" t="s">
        <v>21</v>
      </c>
      <c r="E218" s="0" t="s">
        <v>60</v>
      </c>
      <c r="F218" s="0" t="s">
        <v>36</v>
      </c>
      <c r="G218" s="16" t="n">
        <v>88.73</v>
      </c>
      <c r="H218" s="0" t="n">
        <v>2</v>
      </c>
      <c r="I218" s="16" t="n">
        <f aca="false">G218*H218*0.05</f>
        <v>8.873</v>
      </c>
      <c r="J218" s="16" t="n">
        <f aca="false">G218*H218*1.05</f>
        <v>186.333</v>
      </c>
      <c r="K218" s="17" t="n">
        <v>43486</v>
      </c>
      <c r="L218" s="14" t="s">
        <v>362</v>
      </c>
      <c r="M218" s="14" t="s">
        <v>30</v>
      </c>
      <c r="N218" s="16" t="n">
        <f aca="false">G218*H218</f>
        <v>177.46</v>
      </c>
      <c r="O218" s="18" t="n">
        <v>4.761904762</v>
      </c>
      <c r="P218" s="16" t="n">
        <f aca="false">I218</f>
        <v>8.873</v>
      </c>
      <c r="Q218" s="19" t="n">
        <v>5.5</v>
      </c>
      <c r="R218" s="0" t="str">
        <f aca="false">TEXT(K218,"mmm yyyy")</f>
        <v>Jan 2019</v>
      </c>
      <c r="S218" s="14" t="n">
        <f aca="false">HOUR(TIMEVALUE(L218))</f>
        <v>14</v>
      </c>
      <c r="T218" s="0" t="str">
        <f aca="false">IF(S218&lt;12,"Morning",IF(S218&lt;17,"Afternoon","Evening"))</f>
        <v>Afternoon</v>
      </c>
      <c r="U218" s="16" t="n">
        <f aca="false">G218*H218*0.05</f>
        <v>8.873</v>
      </c>
    </row>
    <row r="219" customFormat="false" ht="15" hidden="false" customHeight="false" outlineLevel="0" collapsed="false">
      <c r="A219" s="0" t="s">
        <v>463</v>
      </c>
      <c r="B219" s="0" t="s">
        <v>25</v>
      </c>
      <c r="C219" s="0" t="s">
        <v>68</v>
      </c>
      <c r="D219" s="0" t="s">
        <v>22</v>
      </c>
      <c r="E219" s="0" t="s">
        <v>57</v>
      </c>
      <c r="F219" s="0" t="s">
        <v>37</v>
      </c>
      <c r="G219" s="16" t="n">
        <v>85.1</v>
      </c>
      <c r="H219" s="0" t="n">
        <v>5</v>
      </c>
      <c r="I219" s="16" t="n">
        <f aca="false">G219*H219*0.05</f>
        <v>21.275</v>
      </c>
      <c r="J219" s="16" t="n">
        <f aca="false">G219*H219*1.05</f>
        <v>446.775</v>
      </c>
      <c r="K219" s="17" t="n">
        <v>43486</v>
      </c>
      <c r="L219" s="14" t="s">
        <v>255</v>
      </c>
      <c r="M219" s="14" t="s">
        <v>34</v>
      </c>
      <c r="N219" s="16" t="n">
        <f aca="false">G219*H219</f>
        <v>425.5</v>
      </c>
      <c r="O219" s="18" t="n">
        <v>4.761904762</v>
      </c>
      <c r="P219" s="16" t="n">
        <f aca="false">I219</f>
        <v>21.275</v>
      </c>
      <c r="Q219" s="19" t="n">
        <v>7.2</v>
      </c>
      <c r="R219" s="0" t="str">
        <f aca="false">TEXT(K219,"mmm yyyy")</f>
        <v>Jan 2019</v>
      </c>
      <c r="S219" s="14" t="n">
        <f aca="false">HOUR(TIMEVALUE(L219))</f>
        <v>15</v>
      </c>
      <c r="T219" s="0" t="str">
        <f aca="false">IF(S219&lt;12,"Morning",IF(S219&lt;17,"Afternoon","Evening"))</f>
        <v>Afternoon</v>
      </c>
      <c r="U219" s="16" t="n">
        <f aca="false">G219*H219*0.05</f>
        <v>21.275</v>
      </c>
    </row>
    <row r="220" customFormat="false" ht="15" hidden="false" customHeight="false" outlineLevel="0" collapsed="false">
      <c r="A220" s="0" t="s">
        <v>464</v>
      </c>
      <c r="B220" s="0" t="s">
        <v>33</v>
      </c>
      <c r="C220" s="0" t="s">
        <v>65</v>
      </c>
      <c r="D220" s="0" t="s">
        <v>21</v>
      </c>
      <c r="E220" s="0" t="s">
        <v>60</v>
      </c>
      <c r="F220" s="0" t="s">
        <v>23</v>
      </c>
      <c r="G220" s="16" t="n">
        <v>86.83</v>
      </c>
      <c r="H220" s="0" t="n">
        <v>9</v>
      </c>
      <c r="I220" s="16" t="n">
        <f aca="false">G220*H220*0.05</f>
        <v>39.0735</v>
      </c>
      <c r="J220" s="16" t="n">
        <f aca="false">G220*H220*1.05</f>
        <v>820.5435</v>
      </c>
      <c r="K220" s="17" t="n">
        <v>43486</v>
      </c>
      <c r="L220" s="14" t="s">
        <v>106</v>
      </c>
      <c r="M220" s="14" t="s">
        <v>26</v>
      </c>
      <c r="N220" s="16" t="n">
        <f aca="false">G220*H220</f>
        <v>781.47</v>
      </c>
      <c r="O220" s="18" t="n">
        <v>4.761904762</v>
      </c>
      <c r="P220" s="16" t="n">
        <f aca="false">I220</f>
        <v>39.0735</v>
      </c>
      <c r="Q220" s="19" t="n">
        <v>7.2</v>
      </c>
      <c r="R220" s="0" t="str">
        <f aca="false">TEXT(K220,"mmm yyyy")</f>
        <v>Jan 2019</v>
      </c>
      <c r="S220" s="14" t="n">
        <f aca="false">HOUR(TIMEVALUE(L220))</f>
        <v>16</v>
      </c>
      <c r="T220" s="0" t="str">
        <f aca="false">IF(S220&lt;12,"Morning",IF(S220&lt;17,"Afternoon","Evening"))</f>
        <v>Afternoon</v>
      </c>
      <c r="U220" s="16" t="n">
        <f aca="false">G220*H220*0.05</f>
        <v>39.0735</v>
      </c>
    </row>
    <row r="221" customFormat="false" ht="15" hidden="false" customHeight="false" outlineLevel="0" collapsed="false">
      <c r="A221" s="0" t="s">
        <v>465</v>
      </c>
      <c r="B221" s="0" t="s">
        <v>33</v>
      </c>
      <c r="C221" s="0" t="s">
        <v>65</v>
      </c>
      <c r="D221" s="0" t="s">
        <v>22</v>
      </c>
      <c r="E221" s="0" t="s">
        <v>57</v>
      </c>
      <c r="F221" s="0" t="s">
        <v>31</v>
      </c>
      <c r="G221" s="16" t="n">
        <v>12.84</v>
      </c>
      <c r="H221" s="0" t="n">
        <v>3</v>
      </c>
      <c r="I221" s="16" t="n">
        <f aca="false">G221*H221*0.05</f>
        <v>1.926</v>
      </c>
      <c r="J221" s="16" t="n">
        <f aca="false">G221*H221*1.05</f>
        <v>40.446</v>
      </c>
      <c r="K221" s="17" t="n">
        <v>43486</v>
      </c>
      <c r="L221" s="14" t="s">
        <v>405</v>
      </c>
      <c r="M221" s="14" t="s">
        <v>26</v>
      </c>
      <c r="N221" s="16" t="n">
        <f aca="false">G221*H221</f>
        <v>38.52</v>
      </c>
      <c r="O221" s="18" t="n">
        <v>4.761904762</v>
      </c>
      <c r="P221" s="16" t="n">
        <f aca="false">I221</f>
        <v>1.926</v>
      </c>
      <c r="Q221" s="19" t="n">
        <v>6.6</v>
      </c>
      <c r="R221" s="0" t="str">
        <f aca="false">TEXT(K221,"mmm yyyy")</f>
        <v>Jan 2019</v>
      </c>
      <c r="S221" s="14" t="n">
        <f aca="false">HOUR(TIMEVALUE(L221))</f>
        <v>18</v>
      </c>
      <c r="T221" s="0" t="str">
        <f aca="false">IF(S221&lt;12,"Morning",IF(S221&lt;17,"Afternoon","Evening"))</f>
        <v>Evening</v>
      </c>
      <c r="U221" s="16" t="n">
        <f aca="false">G221*H221*0.05</f>
        <v>1.926</v>
      </c>
    </row>
    <row r="222" customFormat="false" ht="15" hidden="false" customHeight="false" outlineLevel="0" collapsed="false">
      <c r="A222" s="0" t="s">
        <v>466</v>
      </c>
      <c r="B222" s="0" t="s">
        <v>33</v>
      </c>
      <c r="C222" s="0" t="s">
        <v>65</v>
      </c>
      <c r="D222" s="0" t="s">
        <v>22</v>
      </c>
      <c r="E222" s="0" t="s">
        <v>57</v>
      </c>
      <c r="F222" s="0" t="s">
        <v>27</v>
      </c>
      <c r="G222" s="16" t="n">
        <v>83.95</v>
      </c>
      <c r="H222" s="0" t="n">
        <v>4</v>
      </c>
      <c r="I222" s="16" t="n">
        <f aca="false">G222*H222*0.05</f>
        <v>16.79</v>
      </c>
      <c r="J222" s="16" t="n">
        <f aca="false">G222*H222*1.05</f>
        <v>352.59</v>
      </c>
      <c r="K222" s="17" t="n">
        <v>43486</v>
      </c>
      <c r="L222" s="14" t="s">
        <v>467</v>
      </c>
      <c r="M222" s="14" t="s">
        <v>26</v>
      </c>
      <c r="N222" s="16" t="n">
        <f aca="false">G222*H222</f>
        <v>335.8</v>
      </c>
      <c r="O222" s="18" t="n">
        <v>4.761904762</v>
      </c>
      <c r="P222" s="16" t="n">
        <f aca="false">I222</f>
        <v>16.79</v>
      </c>
      <c r="Q222" s="19" t="n">
        <v>9.8</v>
      </c>
      <c r="R222" s="0" t="str">
        <f aca="false">TEXT(K222,"mmm yyyy")</f>
        <v>Jan 2019</v>
      </c>
      <c r="S222" s="14" t="n">
        <f aca="false">HOUR(TIMEVALUE(L222))</f>
        <v>12</v>
      </c>
      <c r="T222" s="0" t="str">
        <f aca="false">IF(S222&lt;12,"Morning",IF(S222&lt;17,"Afternoon","Evening"))</f>
        <v>Afternoon</v>
      </c>
      <c r="U222" s="16" t="n">
        <f aca="false">G222*H222*0.05</f>
        <v>16.79</v>
      </c>
    </row>
    <row r="223" customFormat="false" ht="15" hidden="false" customHeight="false" outlineLevel="0" collapsed="false">
      <c r="A223" s="0" t="s">
        <v>468</v>
      </c>
      <c r="B223" s="0" t="s">
        <v>29</v>
      </c>
      <c r="C223" s="0" t="s">
        <v>56</v>
      </c>
      <c r="D223" s="0" t="s">
        <v>22</v>
      </c>
      <c r="E223" s="0" t="s">
        <v>60</v>
      </c>
      <c r="F223" s="0" t="s">
        <v>37</v>
      </c>
      <c r="G223" s="16" t="n">
        <v>33.61</v>
      </c>
      <c r="H223" s="0" t="n">
        <v>9</v>
      </c>
      <c r="I223" s="16" t="n">
        <f aca="false">G223*H223*0.05</f>
        <v>15.1245</v>
      </c>
      <c r="J223" s="16" t="n">
        <f aca="false">G223*H223*1.05</f>
        <v>317.6145</v>
      </c>
      <c r="K223" s="17" t="n">
        <v>43486</v>
      </c>
      <c r="L223" s="14" t="s">
        <v>174</v>
      </c>
      <c r="M223" s="14" t="s">
        <v>30</v>
      </c>
      <c r="N223" s="16" t="n">
        <f aca="false">G223*H223</f>
        <v>302.49</v>
      </c>
      <c r="O223" s="18" t="n">
        <v>4.761904762</v>
      </c>
      <c r="P223" s="16" t="n">
        <f aca="false">I223</f>
        <v>15.1245</v>
      </c>
      <c r="Q223" s="19" t="n">
        <v>7.4</v>
      </c>
      <c r="R223" s="0" t="str">
        <f aca="false">TEXT(K223,"mmm yyyy")</f>
        <v>Jan 2019</v>
      </c>
      <c r="S223" s="14" t="n">
        <f aca="false">HOUR(TIMEVALUE(L223))</f>
        <v>17</v>
      </c>
      <c r="T223" s="0" t="str">
        <f aca="false">IF(S223&lt;12,"Morning",IF(S223&lt;17,"Afternoon","Evening"))</f>
        <v>Evening</v>
      </c>
      <c r="U223" s="16" t="n">
        <f aca="false">G223*H223*0.05</f>
        <v>15.1245</v>
      </c>
    </row>
    <row r="224" customFormat="false" ht="15" hidden="false" customHeight="false" outlineLevel="0" collapsed="false">
      <c r="A224" s="0" t="s">
        <v>469</v>
      </c>
      <c r="B224" s="0" t="s">
        <v>25</v>
      </c>
      <c r="C224" s="0" t="s">
        <v>68</v>
      </c>
      <c r="D224" s="0" t="s">
        <v>21</v>
      </c>
      <c r="E224" s="0" t="s">
        <v>57</v>
      </c>
      <c r="F224" s="0" t="s">
        <v>37</v>
      </c>
      <c r="G224" s="16" t="n">
        <v>19.07</v>
      </c>
      <c r="H224" s="0" t="n">
        <v>1</v>
      </c>
      <c r="I224" s="16" t="n">
        <f aca="false">G224*H224*0.05</f>
        <v>0.9535</v>
      </c>
      <c r="J224" s="16" t="n">
        <f aca="false">G224*H224*1.05</f>
        <v>20.0235</v>
      </c>
      <c r="K224" s="17" t="n">
        <v>43486</v>
      </c>
      <c r="L224" s="14" t="s">
        <v>470</v>
      </c>
      <c r="M224" s="14" t="s">
        <v>30</v>
      </c>
      <c r="N224" s="16" t="n">
        <f aca="false">G224*H224</f>
        <v>19.07</v>
      </c>
      <c r="O224" s="18" t="n">
        <v>4.761904762</v>
      </c>
      <c r="P224" s="16" t="n">
        <f aca="false">I224</f>
        <v>0.9535</v>
      </c>
      <c r="Q224" s="19" t="n">
        <v>6.2</v>
      </c>
      <c r="R224" s="0" t="str">
        <f aca="false">TEXT(K224,"mmm yyyy")</f>
        <v>Jan 2019</v>
      </c>
      <c r="S224" s="14" t="n">
        <f aca="false">HOUR(TIMEVALUE(L224))</f>
        <v>18</v>
      </c>
      <c r="T224" s="0" t="str">
        <f aca="false">IF(S224&lt;12,"Morning",IF(S224&lt;17,"Afternoon","Evening"))</f>
        <v>Evening</v>
      </c>
      <c r="U224" s="16" t="n">
        <f aca="false">G224*H224*0.05</f>
        <v>0.9535</v>
      </c>
    </row>
    <row r="225" customFormat="false" ht="15" hidden="false" customHeight="false" outlineLevel="0" collapsed="false">
      <c r="A225" s="0" t="s">
        <v>471</v>
      </c>
      <c r="B225" s="0" t="s">
        <v>33</v>
      </c>
      <c r="C225" s="0" t="s">
        <v>65</v>
      </c>
      <c r="D225" s="0" t="s">
        <v>22</v>
      </c>
      <c r="E225" s="0" t="s">
        <v>57</v>
      </c>
      <c r="F225" s="0" t="s">
        <v>37</v>
      </c>
      <c r="G225" s="16" t="n">
        <v>65.81</v>
      </c>
      <c r="H225" s="0" t="n">
        <v>9</v>
      </c>
      <c r="I225" s="16" t="n">
        <f aca="false">G225*H225*0.05</f>
        <v>29.6145</v>
      </c>
      <c r="J225" s="16" t="n">
        <f aca="false">G225*H225*1.05</f>
        <v>621.9045</v>
      </c>
      <c r="K225" s="17" t="n">
        <v>43486</v>
      </c>
      <c r="L225" s="14" t="s">
        <v>472</v>
      </c>
      <c r="M225" s="14" t="s">
        <v>26</v>
      </c>
      <c r="N225" s="16" t="n">
        <f aca="false">G225*H225</f>
        <v>592.29</v>
      </c>
      <c r="O225" s="18" t="n">
        <v>4.761904762</v>
      </c>
      <c r="P225" s="16" t="n">
        <f aca="false">I225</f>
        <v>29.6145</v>
      </c>
      <c r="Q225" s="19" t="n">
        <v>6.2</v>
      </c>
      <c r="R225" s="0" t="str">
        <f aca="false">TEXT(K225,"mmm yyyy")</f>
        <v>Jan 2019</v>
      </c>
      <c r="S225" s="14" t="n">
        <f aca="false">HOUR(TIMEVALUE(L225))</f>
        <v>11</v>
      </c>
      <c r="T225" s="0" t="str">
        <f aca="false">IF(S225&lt;12,"Morning",IF(S225&lt;17,"Afternoon","Evening"))</f>
        <v>Morning</v>
      </c>
      <c r="U225" s="16" t="n">
        <f aca="false">G225*H225*0.05</f>
        <v>29.6145</v>
      </c>
    </row>
    <row r="226" customFormat="false" ht="15" hidden="false" customHeight="false" outlineLevel="0" collapsed="false">
      <c r="A226" s="0" t="s">
        <v>473</v>
      </c>
      <c r="B226" s="0" t="s">
        <v>33</v>
      </c>
      <c r="C226" s="0" t="s">
        <v>65</v>
      </c>
      <c r="D226" s="0" t="s">
        <v>21</v>
      </c>
      <c r="E226" s="0" t="s">
        <v>60</v>
      </c>
      <c r="F226" s="0" t="s">
        <v>27</v>
      </c>
      <c r="G226" s="16" t="n">
        <v>81.18</v>
      </c>
      <c r="H226" s="0" t="n">
        <v>2</v>
      </c>
      <c r="I226" s="16" t="n">
        <f aca="false">G226*H226*0.05</f>
        <v>8.118</v>
      </c>
      <c r="J226" s="16" t="n">
        <f aca="false">G226*H226*1.05</f>
        <v>170.478</v>
      </c>
      <c r="K226" s="17" t="n">
        <v>43486</v>
      </c>
      <c r="L226" s="14" t="s">
        <v>474</v>
      </c>
      <c r="M226" s="14" t="s">
        <v>30</v>
      </c>
      <c r="N226" s="16" t="n">
        <f aca="false">G226*H226</f>
        <v>162.36</v>
      </c>
      <c r="O226" s="18" t="n">
        <v>4.761904762</v>
      </c>
      <c r="P226" s="16" t="n">
        <f aca="false">I226</f>
        <v>8.118</v>
      </c>
      <c r="Q226" s="19" t="n">
        <v>5.6</v>
      </c>
      <c r="R226" s="0" t="str">
        <f aca="false">TEXT(K226,"mmm yyyy")</f>
        <v>Jan 2019</v>
      </c>
      <c r="S226" s="14" t="n">
        <f aca="false">HOUR(TIMEVALUE(L226))</f>
        <v>15</v>
      </c>
      <c r="T226" s="0" t="str">
        <f aca="false">IF(S226&lt;12,"Morning",IF(S226&lt;17,"Afternoon","Evening"))</f>
        <v>Afternoon</v>
      </c>
      <c r="U226" s="16" t="n">
        <f aca="false">G226*H226*0.05</f>
        <v>8.118</v>
      </c>
    </row>
    <row r="227" customFormat="false" ht="15" hidden="false" customHeight="false" outlineLevel="0" collapsed="false">
      <c r="A227" s="0" t="s">
        <v>475</v>
      </c>
      <c r="B227" s="0" t="s">
        <v>29</v>
      </c>
      <c r="C227" s="0" t="s">
        <v>56</v>
      </c>
      <c r="D227" s="0" t="s">
        <v>22</v>
      </c>
      <c r="E227" s="0" t="s">
        <v>57</v>
      </c>
      <c r="F227" s="0" t="s">
        <v>27</v>
      </c>
      <c r="G227" s="16" t="n">
        <v>13.87</v>
      </c>
      <c r="H227" s="0" t="n">
        <v>5</v>
      </c>
      <c r="I227" s="16" t="n">
        <f aca="false">G227*H227*0.05</f>
        <v>3.4675</v>
      </c>
      <c r="J227" s="16" t="n">
        <f aca="false">G227*H227*1.05</f>
        <v>72.8175</v>
      </c>
      <c r="K227" s="17" t="n">
        <v>43487</v>
      </c>
      <c r="L227" s="14" t="s">
        <v>476</v>
      </c>
      <c r="M227" s="14" t="s">
        <v>34</v>
      </c>
      <c r="N227" s="16" t="n">
        <f aca="false">G227*H227</f>
        <v>69.35</v>
      </c>
      <c r="O227" s="18" t="n">
        <v>4.761904762</v>
      </c>
      <c r="P227" s="16" t="n">
        <f aca="false">I227</f>
        <v>3.4675</v>
      </c>
      <c r="Q227" s="19" t="n">
        <v>7.5</v>
      </c>
      <c r="R227" s="0" t="str">
        <f aca="false">TEXT(K227,"mmm yyyy")</f>
        <v>Jan 2019</v>
      </c>
      <c r="S227" s="14" t="n">
        <f aca="false">HOUR(TIMEVALUE(L227))</f>
        <v>11</v>
      </c>
      <c r="T227" s="0" t="str">
        <f aca="false">IF(S227&lt;12,"Morning",IF(S227&lt;17,"Afternoon","Evening"))</f>
        <v>Morning</v>
      </c>
      <c r="U227" s="16" t="n">
        <f aca="false">G227*H227*0.05</f>
        <v>3.4675</v>
      </c>
    </row>
    <row r="228" customFormat="false" ht="15" hidden="false" customHeight="false" outlineLevel="0" collapsed="false">
      <c r="A228" s="0" t="s">
        <v>477</v>
      </c>
      <c r="B228" s="0" t="s">
        <v>29</v>
      </c>
      <c r="C228" s="0" t="s">
        <v>56</v>
      </c>
      <c r="D228" s="0" t="s">
        <v>21</v>
      </c>
      <c r="E228" s="0" t="s">
        <v>60</v>
      </c>
      <c r="F228" s="0" t="s">
        <v>23</v>
      </c>
      <c r="G228" s="16" t="n">
        <v>55.88</v>
      </c>
      <c r="H228" s="0" t="n">
        <v>8</v>
      </c>
      <c r="I228" s="16" t="n">
        <f aca="false">G228*H228*0.05</f>
        <v>22.352</v>
      </c>
      <c r="J228" s="16" t="n">
        <f aca="false">G228*H228*1.05</f>
        <v>469.392</v>
      </c>
      <c r="K228" s="17" t="n">
        <v>43487</v>
      </c>
      <c r="L228" s="14" t="s">
        <v>391</v>
      </c>
      <c r="M228" s="14" t="s">
        <v>34</v>
      </c>
      <c r="N228" s="16" t="n">
        <f aca="false">G228*H228</f>
        <v>447.04</v>
      </c>
      <c r="O228" s="18" t="n">
        <v>4.761904762</v>
      </c>
      <c r="P228" s="16" t="n">
        <f aca="false">I228</f>
        <v>22.352</v>
      </c>
      <c r="Q228" s="19" t="n">
        <v>6.6</v>
      </c>
      <c r="R228" s="0" t="str">
        <f aca="false">TEXT(K228,"mmm yyyy")</f>
        <v>Jan 2019</v>
      </c>
      <c r="S228" s="14" t="n">
        <f aca="false">HOUR(TIMEVALUE(L228))</f>
        <v>20</v>
      </c>
      <c r="T228" s="0" t="str">
        <f aca="false">IF(S228&lt;12,"Morning",IF(S228&lt;17,"Afternoon","Evening"))</f>
        <v>Evening</v>
      </c>
      <c r="U228" s="16" t="n">
        <f aca="false">G228*H228*0.05</f>
        <v>22.352</v>
      </c>
    </row>
    <row r="229" customFormat="false" ht="15" hidden="false" customHeight="false" outlineLevel="0" collapsed="false">
      <c r="A229" s="0" t="s">
        <v>478</v>
      </c>
      <c r="B229" s="0" t="s">
        <v>25</v>
      </c>
      <c r="C229" s="0" t="s">
        <v>68</v>
      </c>
      <c r="D229" s="0" t="s">
        <v>22</v>
      </c>
      <c r="E229" s="0" t="s">
        <v>60</v>
      </c>
      <c r="F229" s="0" t="s">
        <v>27</v>
      </c>
      <c r="G229" s="16" t="n">
        <v>36.99</v>
      </c>
      <c r="H229" s="0" t="n">
        <v>3</v>
      </c>
      <c r="I229" s="16" t="n">
        <f aca="false">G229*H229*0.05</f>
        <v>5.5485</v>
      </c>
      <c r="J229" s="16" t="n">
        <f aca="false">G229*H229*1.05</f>
        <v>116.5185</v>
      </c>
      <c r="K229" s="17" t="n">
        <v>43487</v>
      </c>
      <c r="L229" s="14" t="s">
        <v>329</v>
      </c>
      <c r="M229" s="14" t="s">
        <v>26</v>
      </c>
      <c r="N229" s="16" t="n">
        <f aca="false">G229*H229</f>
        <v>110.97</v>
      </c>
      <c r="O229" s="18" t="n">
        <v>4.761904762</v>
      </c>
      <c r="P229" s="16" t="n">
        <f aca="false">I229</f>
        <v>5.5485</v>
      </c>
      <c r="Q229" s="19" t="n">
        <v>4.1</v>
      </c>
      <c r="R229" s="0" t="str">
        <f aca="false">TEXT(K229,"mmm yyyy")</f>
        <v>Jan 2019</v>
      </c>
      <c r="S229" s="14" t="n">
        <f aca="false">HOUR(TIMEVALUE(L229))</f>
        <v>13</v>
      </c>
      <c r="T229" s="0" t="str">
        <f aca="false">IF(S229&lt;12,"Morning",IF(S229&lt;17,"Afternoon","Evening"))</f>
        <v>Afternoon</v>
      </c>
      <c r="U229" s="16" t="n">
        <f aca="false">G229*H229*0.05</f>
        <v>5.5485</v>
      </c>
    </row>
    <row r="230" customFormat="false" ht="15" hidden="false" customHeight="false" outlineLevel="0" collapsed="false">
      <c r="A230" s="0" t="s">
        <v>479</v>
      </c>
      <c r="B230" s="0" t="s">
        <v>29</v>
      </c>
      <c r="C230" s="0" t="s">
        <v>56</v>
      </c>
      <c r="D230" s="0" t="s">
        <v>22</v>
      </c>
      <c r="E230" s="0" t="s">
        <v>57</v>
      </c>
      <c r="F230" s="0" t="s">
        <v>31</v>
      </c>
      <c r="G230" s="16" t="n">
        <v>37.93</v>
      </c>
      <c r="H230" s="0" t="n">
        <v>1</v>
      </c>
      <c r="I230" s="16" t="n">
        <f aca="false">G230*H230*0.05</f>
        <v>1.8965</v>
      </c>
      <c r="J230" s="16" t="n">
        <f aca="false">G230*H230*1.05</f>
        <v>39.8265</v>
      </c>
      <c r="K230" s="17" t="n">
        <v>43487</v>
      </c>
      <c r="L230" s="14" t="s">
        <v>290</v>
      </c>
      <c r="M230" s="14" t="s">
        <v>30</v>
      </c>
      <c r="N230" s="16" t="n">
        <f aca="false">G230*H230</f>
        <v>37.93</v>
      </c>
      <c r="O230" s="18" t="n">
        <v>4.761904762</v>
      </c>
      <c r="P230" s="16" t="n">
        <f aca="false">I230</f>
        <v>1.8965</v>
      </c>
      <c r="Q230" s="19" t="n">
        <v>7.6</v>
      </c>
      <c r="R230" s="0" t="str">
        <f aca="false">TEXT(K230,"mmm yyyy")</f>
        <v>Jan 2019</v>
      </c>
      <c r="S230" s="14" t="n">
        <f aca="false">HOUR(TIMEVALUE(L230))</f>
        <v>13</v>
      </c>
      <c r="T230" s="0" t="str">
        <f aca="false">IF(S230&lt;12,"Morning",IF(S230&lt;17,"Afternoon","Evening"))</f>
        <v>Afternoon</v>
      </c>
      <c r="U230" s="16" t="n">
        <f aca="false">G230*H230*0.05</f>
        <v>1.8965</v>
      </c>
    </row>
    <row r="231" customFormat="false" ht="15" hidden="false" customHeight="false" outlineLevel="0" collapsed="false">
      <c r="A231" s="0" t="s">
        <v>480</v>
      </c>
      <c r="B231" s="0" t="s">
        <v>33</v>
      </c>
      <c r="C231" s="0" t="s">
        <v>65</v>
      </c>
      <c r="D231" s="0" t="s">
        <v>21</v>
      </c>
      <c r="E231" s="0" t="s">
        <v>60</v>
      </c>
      <c r="F231" s="0" t="s">
        <v>37</v>
      </c>
      <c r="G231" s="16" t="n">
        <v>89.06</v>
      </c>
      <c r="H231" s="0" t="n">
        <v>3</v>
      </c>
      <c r="I231" s="16" t="n">
        <f aca="false">G231*H231*0.05</f>
        <v>13.359</v>
      </c>
      <c r="J231" s="16" t="n">
        <f aca="false">G231*H231*1.05</f>
        <v>280.539</v>
      </c>
      <c r="K231" s="17" t="n">
        <v>43487</v>
      </c>
      <c r="L231" s="14" t="s">
        <v>405</v>
      </c>
      <c r="M231" s="14" t="s">
        <v>34</v>
      </c>
      <c r="N231" s="16" t="n">
        <f aca="false">G231*H231</f>
        <v>267.18</v>
      </c>
      <c r="O231" s="18" t="n">
        <v>4.761904762</v>
      </c>
      <c r="P231" s="16" t="n">
        <f aca="false">I231</f>
        <v>13.359</v>
      </c>
      <c r="Q231" s="19" t="n">
        <v>9.5</v>
      </c>
      <c r="R231" s="0" t="str">
        <f aca="false">TEXT(K231,"mmm yyyy")</f>
        <v>Jan 2019</v>
      </c>
      <c r="S231" s="14" t="n">
        <f aca="false">HOUR(TIMEVALUE(L231))</f>
        <v>18</v>
      </c>
      <c r="T231" s="0" t="str">
        <f aca="false">IF(S231&lt;12,"Morning",IF(S231&lt;17,"Afternoon","Evening"))</f>
        <v>Evening</v>
      </c>
      <c r="U231" s="16" t="n">
        <f aca="false">G231*H231*0.05</f>
        <v>13.359</v>
      </c>
    </row>
    <row r="232" customFormat="false" ht="15" hidden="false" customHeight="false" outlineLevel="0" collapsed="false">
      <c r="A232" s="0" t="s">
        <v>481</v>
      </c>
      <c r="B232" s="0" t="s">
        <v>29</v>
      </c>
      <c r="C232" s="0" t="s">
        <v>56</v>
      </c>
      <c r="D232" s="0" t="s">
        <v>22</v>
      </c>
      <c r="E232" s="0" t="s">
        <v>57</v>
      </c>
      <c r="F232" s="0" t="s">
        <v>27</v>
      </c>
      <c r="G232" s="16" t="n">
        <v>93.86</v>
      </c>
      <c r="H232" s="0" t="n">
        <v>6</v>
      </c>
      <c r="I232" s="16" t="n">
        <f aca="false">G232*H232*0.05</f>
        <v>28.158</v>
      </c>
      <c r="J232" s="16" t="n">
        <f aca="false">G232*H232*1.05</f>
        <v>591.318</v>
      </c>
      <c r="K232" s="17" t="n">
        <v>43487</v>
      </c>
      <c r="L232" s="14" t="s">
        <v>450</v>
      </c>
      <c r="M232" s="14" t="s">
        <v>34</v>
      </c>
      <c r="N232" s="16" t="n">
        <f aca="false">G232*H232</f>
        <v>563.16</v>
      </c>
      <c r="O232" s="18" t="n">
        <v>4.761904762</v>
      </c>
      <c r="P232" s="16" t="n">
        <f aca="false">I232</f>
        <v>28.158</v>
      </c>
      <c r="Q232" s="19" t="n">
        <v>6.1</v>
      </c>
      <c r="R232" s="0" t="str">
        <f aca="false">TEXT(K232,"mmm yyyy")</f>
        <v>Jan 2019</v>
      </c>
      <c r="S232" s="14" t="n">
        <f aca="false">HOUR(TIMEVALUE(L232))</f>
        <v>12</v>
      </c>
      <c r="T232" s="0" t="str">
        <f aca="false">IF(S232&lt;12,"Morning",IF(S232&lt;17,"Afternoon","Evening"))</f>
        <v>Afternoon</v>
      </c>
      <c r="U232" s="16" t="n">
        <f aca="false">G232*H232*0.05</f>
        <v>28.158</v>
      </c>
    </row>
    <row r="233" customFormat="false" ht="15" hidden="false" customHeight="false" outlineLevel="0" collapsed="false">
      <c r="A233" s="0" t="s">
        <v>482</v>
      </c>
      <c r="B233" s="0" t="s">
        <v>33</v>
      </c>
      <c r="C233" s="0" t="s">
        <v>65</v>
      </c>
      <c r="D233" s="0" t="s">
        <v>22</v>
      </c>
      <c r="E233" s="0" t="s">
        <v>60</v>
      </c>
      <c r="F233" s="0" t="s">
        <v>35</v>
      </c>
      <c r="G233" s="16" t="n">
        <v>35.51</v>
      </c>
      <c r="H233" s="0" t="n">
        <v>6</v>
      </c>
      <c r="I233" s="16" t="n">
        <f aca="false">G233*H233*0.05</f>
        <v>10.653</v>
      </c>
      <c r="J233" s="16" t="n">
        <f aca="false">G233*H233*1.05</f>
        <v>223.713</v>
      </c>
      <c r="K233" s="17" t="n">
        <v>43487</v>
      </c>
      <c r="L233" s="14" t="s">
        <v>180</v>
      </c>
      <c r="M233" s="14" t="s">
        <v>34</v>
      </c>
      <c r="N233" s="16" t="n">
        <f aca="false">G233*H233</f>
        <v>213.06</v>
      </c>
      <c r="O233" s="18" t="n">
        <v>4.761904762</v>
      </c>
      <c r="P233" s="16" t="n">
        <f aca="false">I233</f>
        <v>10.653</v>
      </c>
      <c r="Q233" s="19" t="n">
        <v>8.4</v>
      </c>
      <c r="R233" s="0" t="str">
        <f aca="false">TEXT(K233,"mmm yyyy")</f>
        <v>Jan 2019</v>
      </c>
      <c r="S233" s="14" t="n">
        <f aca="false">HOUR(TIMEVALUE(L233))</f>
        <v>15</v>
      </c>
      <c r="T233" s="0" t="str">
        <f aca="false">IF(S233&lt;12,"Morning",IF(S233&lt;17,"Afternoon","Evening"))</f>
        <v>Afternoon</v>
      </c>
      <c r="U233" s="16" t="n">
        <f aca="false">G233*H233*0.05</f>
        <v>10.653</v>
      </c>
    </row>
    <row r="234" customFormat="false" ht="15" hidden="false" customHeight="false" outlineLevel="0" collapsed="false">
      <c r="A234" s="0" t="s">
        <v>483</v>
      </c>
      <c r="B234" s="0" t="s">
        <v>25</v>
      </c>
      <c r="C234" s="0" t="s">
        <v>68</v>
      </c>
      <c r="D234" s="0" t="s">
        <v>22</v>
      </c>
      <c r="E234" s="0" t="s">
        <v>60</v>
      </c>
      <c r="F234" s="0" t="s">
        <v>23</v>
      </c>
      <c r="G234" s="16" t="n">
        <v>70.67</v>
      </c>
      <c r="H234" s="0" t="n">
        <v>8</v>
      </c>
      <c r="I234" s="16" t="n">
        <f aca="false">G234*H234*0.05</f>
        <v>28.268</v>
      </c>
      <c r="J234" s="16" t="n">
        <f aca="false">G234*H234*1.05</f>
        <v>593.628</v>
      </c>
      <c r="K234" s="17" t="n">
        <v>43487</v>
      </c>
      <c r="L234" s="14" t="s">
        <v>419</v>
      </c>
      <c r="M234" s="14" t="s">
        <v>30</v>
      </c>
      <c r="N234" s="16" t="n">
        <f aca="false">G234*H234</f>
        <v>565.36</v>
      </c>
      <c r="O234" s="18" t="n">
        <v>4.761904762</v>
      </c>
      <c r="P234" s="16" t="n">
        <f aca="false">I234</f>
        <v>28.268</v>
      </c>
      <c r="Q234" s="19" t="n">
        <v>8.7</v>
      </c>
      <c r="R234" s="0" t="str">
        <f aca="false">TEXT(K234,"mmm yyyy")</f>
        <v>Jan 2019</v>
      </c>
      <c r="S234" s="14" t="n">
        <f aca="false">HOUR(TIMEVALUE(L234))</f>
        <v>10</v>
      </c>
      <c r="T234" s="0" t="str">
        <f aca="false">IF(S234&lt;12,"Morning",IF(S234&lt;17,"Afternoon","Evening"))</f>
        <v>Morning</v>
      </c>
      <c r="U234" s="16" t="n">
        <f aca="false">G234*H234*0.05</f>
        <v>28.268</v>
      </c>
    </row>
    <row r="235" customFormat="false" ht="15" hidden="false" customHeight="false" outlineLevel="0" collapsed="false">
      <c r="A235" s="0" t="s">
        <v>484</v>
      </c>
      <c r="B235" s="0" t="s">
        <v>33</v>
      </c>
      <c r="C235" s="0" t="s">
        <v>65</v>
      </c>
      <c r="D235" s="0" t="s">
        <v>22</v>
      </c>
      <c r="E235" s="0" t="s">
        <v>60</v>
      </c>
      <c r="F235" s="0" t="s">
        <v>27</v>
      </c>
      <c r="G235" s="16" t="n">
        <v>97.71</v>
      </c>
      <c r="H235" s="0" t="n">
        <v>5</v>
      </c>
      <c r="I235" s="16" t="n">
        <f aca="false">G235*H235*0.05</f>
        <v>24.4275</v>
      </c>
      <c r="J235" s="16" t="n">
        <f aca="false">G235*H235*1.05</f>
        <v>512.9775</v>
      </c>
      <c r="K235" s="17" t="n">
        <v>43487</v>
      </c>
      <c r="L235" s="14" t="s">
        <v>399</v>
      </c>
      <c r="M235" s="14" t="s">
        <v>34</v>
      </c>
      <c r="N235" s="16" t="n">
        <f aca="false">G235*H235</f>
        <v>488.55</v>
      </c>
      <c r="O235" s="18" t="n">
        <v>4.761904762</v>
      </c>
      <c r="P235" s="16" t="n">
        <f aca="false">I235</f>
        <v>24.4275</v>
      </c>
      <c r="Q235" s="19" t="n">
        <v>8.8</v>
      </c>
      <c r="R235" s="0" t="str">
        <f aca="false">TEXT(K235,"mmm yyyy")</f>
        <v>Jan 2019</v>
      </c>
      <c r="S235" s="14" t="n">
        <f aca="false">HOUR(TIMEVALUE(L235))</f>
        <v>13</v>
      </c>
      <c r="T235" s="0" t="str">
        <f aca="false">IF(S235&lt;12,"Morning",IF(S235&lt;17,"Afternoon","Evening"))</f>
        <v>Afternoon</v>
      </c>
      <c r="U235" s="16" t="n">
        <f aca="false">G235*H235*0.05</f>
        <v>24.4275</v>
      </c>
    </row>
    <row r="236" customFormat="false" ht="15" hidden="false" customHeight="false" outlineLevel="0" collapsed="false">
      <c r="A236" s="0" t="s">
        <v>485</v>
      </c>
      <c r="B236" s="0" t="s">
        <v>29</v>
      </c>
      <c r="C236" s="0" t="s">
        <v>56</v>
      </c>
      <c r="D236" s="0" t="s">
        <v>21</v>
      </c>
      <c r="E236" s="0" t="s">
        <v>57</v>
      </c>
      <c r="F236" s="0" t="s">
        <v>37</v>
      </c>
      <c r="G236" s="16" t="n">
        <v>39.62</v>
      </c>
      <c r="H236" s="0" t="n">
        <v>7</v>
      </c>
      <c r="I236" s="16" t="n">
        <f aca="false">G236*H236*0.05</f>
        <v>13.867</v>
      </c>
      <c r="J236" s="16" t="n">
        <f aca="false">G236*H236*1.05</f>
        <v>291.207</v>
      </c>
      <c r="K236" s="17" t="n">
        <v>43487</v>
      </c>
      <c r="L236" s="14" t="s">
        <v>83</v>
      </c>
      <c r="M236" s="14" t="s">
        <v>34</v>
      </c>
      <c r="N236" s="16" t="n">
        <f aca="false">G236*H236</f>
        <v>277.34</v>
      </c>
      <c r="O236" s="18" t="n">
        <v>4.761904762</v>
      </c>
      <c r="P236" s="16" t="n">
        <f aca="false">I236</f>
        <v>13.867</v>
      </c>
      <c r="Q236" s="19" t="n">
        <v>8.5</v>
      </c>
      <c r="R236" s="0" t="str">
        <f aca="false">TEXT(K236,"mmm yyyy")</f>
        <v>Jan 2019</v>
      </c>
      <c r="S236" s="14" t="n">
        <f aca="false">HOUR(TIMEVALUE(L236))</f>
        <v>20</v>
      </c>
      <c r="T236" s="0" t="str">
        <f aca="false">IF(S236&lt;12,"Morning",IF(S236&lt;17,"Afternoon","Evening"))</f>
        <v>Evening</v>
      </c>
      <c r="U236" s="16" t="n">
        <f aca="false">G236*H236*0.05</f>
        <v>13.867</v>
      </c>
    </row>
    <row r="237" customFormat="false" ht="15" hidden="false" customHeight="false" outlineLevel="0" collapsed="false">
      <c r="A237" s="0" t="s">
        <v>486</v>
      </c>
      <c r="B237" s="0" t="s">
        <v>33</v>
      </c>
      <c r="C237" s="0" t="s">
        <v>65</v>
      </c>
      <c r="D237" s="0" t="s">
        <v>21</v>
      </c>
      <c r="E237" s="0" t="s">
        <v>60</v>
      </c>
      <c r="F237" s="0" t="s">
        <v>31</v>
      </c>
      <c r="G237" s="16" t="n">
        <v>30.89</v>
      </c>
      <c r="H237" s="0" t="n">
        <v>10</v>
      </c>
      <c r="I237" s="16" t="n">
        <f aca="false">G237*H237*0.05</f>
        <v>15.445</v>
      </c>
      <c r="J237" s="16" t="n">
        <f aca="false">G237*H237*1.05</f>
        <v>324.345</v>
      </c>
      <c r="K237" s="17" t="n">
        <v>43487</v>
      </c>
      <c r="L237" s="14" t="s">
        <v>487</v>
      </c>
      <c r="M237" s="14" t="s">
        <v>30</v>
      </c>
      <c r="N237" s="16" t="n">
        <f aca="false">G237*H237</f>
        <v>308.9</v>
      </c>
      <c r="O237" s="18" t="n">
        <v>4.761904762</v>
      </c>
      <c r="P237" s="16" t="n">
        <f aca="false">I237</f>
        <v>15.445</v>
      </c>
      <c r="Q237" s="19" t="n">
        <v>9.3</v>
      </c>
      <c r="R237" s="0" t="str">
        <f aca="false">TEXT(K237,"mmm yyyy")</f>
        <v>Jan 2019</v>
      </c>
      <c r="S237" s="14" t="n">
        <f aca="false">HOUR(TIMEVALUE(L237))</f>
        <v>16</v>
      </c>
      <c r="T237" s="0" t="str">
        <f aca="false">IF(S237&lt;12,"Morning",IF(S237&lt;17,"Afternoon","Evening"))</f>
        <v>Afternoon</v>
      </c>
      <c r="U237" s="16" t="n">
        <f aca="false">G237*H237*0.05</f>
        <v>15.445</v>
      </c>
    </row>
    <row r="238" customFormat="false" ht="15" hidden="false" customHeight="false" outlineLevel="0" collapsed="false">
      <c r="A238" s="0" t="s">
        <v>488</v>
      </c>
      <c r="B238" s="0" t="s">
        <v>25</v>
      </c>
      <c r="C238" s="0" t="s">
        <v>68</v>
      </c>
      <c r="D238" s="0" t="s">
        <v>21</v>
      </c>
      <c r="E238" s="0" t="s">
        <v>60</v>
      </c>
      <c r="F238" s="0" t="s">
        <v>36</v>
      </c>
      <c r="G238" s="16" t="n">
        <v>41.1</v>
      </c>
      <c r="H238" s="0" t="n">
        <v>9</v>
      </c>
      <c r="I238" s="16" t="n">
        <f aca="false">G238*H238*0.05</f>
        <v>18.495</v>
      </c>
      <c r="J238" s="16" t="n">
        <f aca="false">G238*H238*1.05</f>
        <v>388.395</v>
      </c>
      <c r="K238" s="17" t="n">
        <v>43487</v>
      </c>
      <c r="L238" s="14" t="s">
        <v>395</v>
      </c>
      <c r="M238" s="14" t="s">
        <v>26</v>
      </c>
      <c r="N238" s="16" t="n">
        <f aca="false">G238*H238</f>
        <v>369.9</v>
      </c>
      <c r="O238" s="18" t="n">
        <v>4.761904762</v>
      </c>
      <c r="P238" s="16" t="n">
        <f aca="false">I238</f>
        <v>18.495</v>
      </c>
      <c r="Q238" s="19" t="n">
        <v>7.7</v>
      </c>
      <c r="R238" s="0" t="str">
        <f aca="false">TEXT(K238,"mmm yyyy")</f>
        <v>Jan 2019</v>
      </c>
      <c r="S238" s="14" t="n">
        <f aca="false">HOUR(TIMEVALUE(L238))</f>
        <v>10</v>
      </c>
      <c r="T238" s="0" t="str">
        <f aca="false">IF(S238&lt;12,"Morning",IF(S238&lt;17,"Afternoon","Evening"))</f>
        <v>Morning</v>
      </c>
      <c r="U238" s="16" t="n">
        <f aca="false">G238*H238*0.05</f>
        <v>18.495</v>
      </c>
    </row>
    <row r="239" customFormat="false" ht="15" hidden="false" customHeight="false" outlineLevel="0" collapsed="false">
      <c r="A239" s="0" t="s">
        <v>489</v>
      </c>
      <c r="B239" s="0" t="s">
        <v>29</v>
      </c>
      <c r="C239" s="0" t="s">
        <v>56</v>
      </c>
      <c r="D239" s="0" t="s">
        <v>22</v>
      </c>
      <c r="E239" s="0" t="s">
        <v>57</v>
      </c>
      <c r="F239" s="0" t="s">
        <v>37</v>
      </c>
      <c r="G239" s="16" t="n">
        <v>83.13</v>
      </c>
      <c r="H239" s="0" t="n">
        <v>10</v>
      </c>
      <c r="I239" s="16" t="n">
        <f aca="false">G239*H239*0.05</f>
        <v>41.565</v>
      </c>
      <c r="J239" s="16" t="n">
        <f aca="false">G239*H239*1.05</f>
        <v>872.865</v>
      </c>
      <c r="K239" s="17" t="n">
        <v>43487</v>
      </c>
      <c r="L239" s="14" t="s">
        <v>490</v>
      </c>
      <c r="M239" s="14" t="s">
        <v>30</v>
      </c>
      <c r="N239" s="16" t="n">
        <f aca="false">G239*H239</f>
        <v>831.3</v>
      </c>
      <c r="O239" s="18" t="n">
        <v>4.761904762</v>
      </c>
      <c r="P239" s="16" t="n">
        <f aca="false">I239</f>
        <v>41.565</v>
      </c>
      <c r="Q239" s="19" t="n">
        <v>8.9</v>
      </c>
      <c r="R239" s="0" t="str">
        <f aca="false">TEXT(K239,"mmm yyyy")</f>
        <v>Jan 2019</v>
      </c>
      <c r="S239" s="14" t="n">
        <f aca="false">HOUR(TIMEVALUE(L239))</f>
        <v>12</v>
      </c>
      <c r="T239" s="0" t="str">
        <f aca="false">IF(S239&lt;12,"Morning",IF(S239&lt;17,"Afternoon","Evening"))</f>
        <v>Afternoon</v>
      </c>
      <c r="U239" s="16" t="n">
        <f aca="false">G239*H239*0.05</f>
        <v>41.565</v>
      </c>
    </row>
    <row r="240" customFormat="false" ht="15" hidden="false" customHeight="false" outlineLevel="0" collapsed="false">
      <c r="A240" s="0" t="s">
        <v>491</v>
      </c>
      <c r="B240" s="0" t="s">
        <v>33</v>
      </c>
      <c r="C240" s="0" t="s">
        <v>65</v>
      </c>
      <c r="D240" s="0" t="s">
        <v>21</v>
      </c>
      <c r="E240" s="0" t="s">
        <v>60</v>
      </c>
      <c r="F240" s="0" t="s">
        <v>23</v>
      </c>
      <c r="G240" s="16" t="n">
        <v>21.93</v>
      </c>
      <c r="H240" s="0" t="n">
        <v>3</v>
      </c>
      <c r="I240" s="16" t="n">
        <f aca="false">G240*H240*0.05</f>
        <v>3.2895</v>
      </c>
      <c r="J240" s="16" t="n">
        <f aca="false">G240*H240*1.05</f>
        <v>69.0795</v>
      </c>
      <c r="K240" s="17" t="n">
        <v>43487</v>
      </c>
      <c r="L240" s="14" t="s">
        <v>492</v>
      </c>
      <c r="M240" s="14" t="s">
        <v>30</v>
      </c>
      <c r="N240" s="16" t="n">
        <f aca="false">G240*H240</f>
        <v>65.79</v>
      </c>
      <c r="O240" s="18" t="n">
        <v>4.761904762</v>
      </c>
      <c r="P240" s="16" t="n">
        <f aca="false">I240</f>
        <v>3.2895</v>
      </c>
      <c r="Q240" s="19" t="n">
        <v>9.9</v>
      </c>
      <c r="R240" s="0" t="str">
        <f aca="false">TEXT(K240,"mmm yyyy")</f>
        <v>Jan 2019</v>
      </c>
      <c r="S240" s="14" t="n">
        <f aca="false">HOUR(TIMEVALUE(L240))</f>
        <v>15</v>
      </c>
      <c r="T240" s="0" t="str">
        <f aca="false">IF(S240&lt;12,"Morning",IF(S240&lt;17,"Afternoon","Evening"))</f>
        <v>Afternoon</v>
      </c>
      <c r="U240" s="16" t="n">
        <f aca="false">G240*H240*0.05</f>
        <v>3.2895</v>
      </c>
    </row>
    <row r="241" customFormat="false" ht="15" hidden="false" customHeight="false" outlineLevel="0" collapsed="false">
      <c r="A241" s="0" t="s">
        <v>493</v>
      </c>
      <c r="B241" s="0" t="s">
        <v>33</v>
      </c>
      <c r="C241" s="0" t="s">
        <v>65</v>
      </c>
      <c r="D241" s="0" t="s">
        <v>21</v>
      </c>
      <c r="E241" s="0" t="s">
        <v>57</v>
      </c>
      <c r="F241" s="0" t="s">
        <v>37</v>
      </c>
      <c r="G241" s="16" t="n">
        <v>22.06</v>
      </c>
      <c r="H241" s="0" t="n">
        <v>6</v>
      </c>
      <c r="I241" s="16" t="n">
        <f aca="false">G241*H241*0.05</f>
        <v>6.618</v>
      </c>
      <c r="J241" s="16" t="n">
        <f aca="false">G241*H241*1.05</f>
        <v>138.978</v>
      </c>
      <c r="K241" s="17" t="n">
        <v>43487</v>
      </c>
      <c r="L241" s="14" t="s">
        <v>494</v>
      </c>
      <c r="M241" s="14" t="s">
        <v>30</v>
      </c>
      <c r="N241" s="16" t="n">
        <f aca="false">G241*H241</f>
        <v>132.36</v>
      </c>
      <c r="O241" s="18" t="n">
        <v>4.761904762</v>
      </c>
      <c r="P241" s="16" t="n">
        <f aca="false">I241</f>
        <v>6.618</v>
      </c>
      <c r="Q241" s="19" t="n">
        <v>7.6</v>
      </c>
      <c r="R241" s="0" t="str">
        <f aca="false">TEXT(K241,"mmm yyyy")</f>
        <v>Jan 2019</v>
      </c>
      <c r="S241" s="14" t="n">
        <f aca="false">HOUR(TIMEVALUE(L241))</f>
        <v>16</v>
      </c>
      <c r="T241" s="0" t="str">
        <f aca="false">IF(S241&lt;12,"Morning",IF(S241&lt;17,"Afternoon","Evening"))</f>
        <v>Afternoon</v>
      </c>
      <c r="U241" s="16" t="n">
        <f aca="false">G241*H241*0.05</f>
        <v>6.618</v>
      </c>
    </row>
    <row r="242" customFormat="false" ht="15" hidden="false" customHeight="false" outlineLevel="0" collapsed="false">
      <c r="A242" s="0" t="s">
        <v>495</v>
      </c>
      <c r="B242" s="0" t="s">
        <v>25</v>
      </c>
      <c r="C242" s="0" t="s">
        <v>68</v>
      </c>
      <c r="D242" s="0" t="s">
        <v>21</v>
      </c>
      <c r="E242" s="0" t="s">
        <v>60</v>
      </c>
      <c r="F242" s="0" t="s">
        <v>31</v>
      </c>
      <c r="G242" s="16" t="n">
        <v>28.24</v>
      </c>
      <c r="H242" s="0" t="n">
        <v>9</v>
      </c>
      <c r="I242" s="16" t="n">
        <f aca="false">G242*H242*0.05</f>
        <v>12.708</v>
      </c>
      <c r="J242" s="16" t="n">
        <f aca="false">G242*H242*1.05</f>
        <v>266.868</v>
      </c>
      <c r="K242" s="17" t="n">
        <v>43487</v>
      </c>
      <c r="L242" s="14" t="s">
        <v>496</v>
      </c>
      <c r="M242" s="14" t="s">
        <v>26</v>
      </c>
      <c r="N242" s="16" t="n">
        <f aca="false">G242*H242</f>
        <v>254.16</v>
      </c>
      <c r="O242" s="18" t="n">
        <v>4.761904762</v>
      </c>
      <c r="P242" s="16" t="n">
        <f aca="false">I242</f>
        <v>12.708</v>
      </c>
      <c r="Q242" s="19" t="n">
        <v>9.6</v>
      </c>
      <c r="R242" s="0" t="str">
        <f aca="false">TEXT(K242,"mmm yyyy")</f>
        <v>Jan 2019</v>
      </c>
      <c r="S242" s="14" t="n">
        <f aca="false">HOUR(TIMEVALUE(L242))</f>
        <v>13</v>
      </c>
      <c r="T242" s="0" t="str">
        <f aca="false">IF(S242&lt;12,"Morning",IF(S242&lt;17,"Afternoon","Evening"))</f>
        <v>Afternoon</v>
      </c>
      <c r="U242" s="16" t="n">
        <f aca="false">G242*H242*0.05</f>
        <v>12.708</v>
      </c>
    </row>
    <row r="243" customFormat="false" ht="15" hidden="false" customHeight="false" outlineLevel="0" collapsed="false">
      <c r="A243" s="0" t="s">
        <v>497</v>
      </c>
      <c r="B243" s="0" t="s">
        <v>29</v>
      </c>
      <c r="C243" s="0" t="s">
        <v>56</v>
      </c>
      <c r="D243" s="0" t="s">
        <v>22</v>
      </c>
      <c r="E243" s="0" t="s">
        <v>57</v>
      </c>
      <c r="F243" s="0" t="s">
        <v>37</v>
      </c>
      <c r="G243" s="16" t="n">
        <v>92.2</v>
      </c>
      <c r="H243" s="0" t="n">
        <v>10</v>
      </c>
      <c r="I243" s="16" t="n">
        <f aca="false">G243*H243*0.05</f>
        <v>46.1</v>
      </c>
      <c r="J243" s="16" t="n">
        <f aca="false">G243*H243*1.05</f>
        <v>968.1</v>
      </c>
      <c r="K243" s="17" t="n">
        <v>43488</v>
      </c>
      <c r="L243" s="14" t="s">
        <v>498</v>
      </c>
      <c r="M243" s="14" t="s">
        <v>26</v>
      </c>
      <c r="N243" s="16" t="n">
        <f aca="false">G243*H243</f>
        <v>922</v>
      </c>
      <c r="O243" s="18" t="n">
        <v>4.761904762</v>
      </c>
      <c r="P243" s="16" t="n">
        <f aca="false">I243</f>
        <v>46.1</v>
      </c>
      <c r="Q243" s="19" t="n">
        <v>6.2</v>
      </c>
      <c r="R243" s="0" t="str">
        <f aca="false">TEXT(K243,"mmm yyyy")</f>
        <v>Jan 2019</v>
      </c>
      <c r="S243" s="14" t="n">
        <f aca="false">HOUR(TIMEVALUE(L243))</f>
        <v>10</v>
      </c>
      <c r="T243" s="0" t="str">
        <f aca="false">IF(S243&lt;12,"Morning",IF(S243&lt;17,"Afternoon","Evening"))</f>
        <v>Morning</v>
      </c>
      <c r="U243" s="16" t="n">
        <f aca="false">G243*H243*0.05</f>
        <v>46.1</v>
      </c>
    </row>
    <row r="244" customFormat="false" ht="15" hidden="false" customHeight="false" outlineLevel="0" collapsed="false">
      <c r="A244" s="0" t="s">
        <v>499</v>
      </c>
      <c r="B244" s="0" t="s">
        <v>33</v>
      </c>
      <c r="C244" s="0" t="s">
        <v>65</v>
      </c>
      <c r="D244" s="0" t="s">
        <v>22</v>
      </c>
      <c r="E244" s="0" t="s">
        <v>60</v>
      </c>
      <c r="F244" s="0" t="s">
        <v>35</v>
      </c>
      <c r="G244" s="16" t="n">
        <v>76.37</v>
      </c>
      <c r="H244" s="0" t="n">
        <v>6</v>
      </c>
      <c r="I244" s="16" t="n">
        <f aca="false">G244*H244*0.05</f>
        <v>22.911</v>
      </c>
      <c r="J244" s="16" t="n">
        <f aca="false">G244*H244*1.05</f>
        <v>481.131</v>
      </c>
      <c r="K244" s="17" t="n">
        <v>43488</v>
      </c>
      <c r="L244" s="14" t="s">
        <v>500</v>
      </c>
      <c r="M244" s="14" t="s">
        <v>30</v>
      </c>
      <c r="N244" s="16" t="n">
        <f aca="false">G244*H244</f>
        <v>458.22</v>
      </c>
      <c r="O244" s="18" t="n">
        <v>4.761904762</v>
      </c>
      <c r="P244" s="16" t="n">
        <f aca="false">I244</f>
        <v>22.911</v>
      </c>
      <c r="Q244" s="19" t="n">
        <v>7.8</v>
      </c>
      <c r="R244" s="0" t="str">
        <f aca="false">TEXT(K244,"mmm yyyy")</f>
        <v>Jan 2019</v>
      </c>
      <c r="S244" s="14" t="n">
        <f aca="false">HOUR(TIMEVALUE(L244))</f>
        <v>12</v>
      </c>
      <c r="T244" s="0" t="str">
        <f aca="false">IF(S244&lt;12,"Morning",IF(S244&lt;17,"Afternoon","Evening"))</f>
        <v>Afternoon</v>
      </c>
      <c r="U244" s="16" t="n">
        <f aca="false">G244*H244*0.05</f>
        <v>22.911</v>
      </c>
    </row>
    <row r="245" customFormat="false" ht="15" hidden="false" customHeight="false" outlineLevel="0" collapsed="false">
      <c r="A245" s="0" t="s">
        <v>501</v>
      </c>
      <c r="B245" s="0" t="s">
        <v>33</v>
      </c>
      <c r="C245" s="0" t="s">
        <v>65</v>
      </c>
      <c r="D245" s="0" t="s">
        <v>21</v>
      </c>
      <c r="E245" s="0" t="s">
        <v>57</v>
      </c>
      <c r="F245" s="0" t="s">
        <v>27</v>
      </c>
      <c r="G245" s="16" t="n">
        <v>68.27</v>
      </c>
      <c r="H245" s="0" t="n">
        <v>1</v>
      </c>
      <c r="I245" s="16" t="n">
        <f aca="false">G245*H245*0.05</f>
        <v>3.4135</v>
      </c>
      <c r="J245" s="16" t="n">
        <f aca="false">G245*H245*1.05</f>
        <v>71.6835</v>
      </c>
      <c r="K245" s="17" t="n">
        <v>43488</v>
      </c>
      <c r="L245" s="14" t="s">
        <v>502</v>
      </c>
      <c r="M245" s="14" t="s">
        <v>30</v>
      </c>
      <c r="N245" s="16" t="n">
        <f aca="false">G245*H245</f>
        <v>68.27</v>
      </c>
      <c r="O245" s="18" t="n">
        <v>4.761904762</v>
      </c>
      <c r="P245" s="16" t="n">
        <f aca="false">I245</f>
        <v>3.4135</v>
      </c>
      <c r="Q245" s="19" t="n">
        <v>4.3</v>
      </c>
      <c r="R245" s="0" t="str">
        <f aca="false">TEXT(K245,"mmm yyyy")</f>
        <v>Jan 2019</v>
      </c>
      <c r="S245" s="14" t="n">
        <f aca="false">HOUR(TIMEVALUE(L245))</f>
        <v>15</v>
      </c>
      <c r="T245" s="0" t="str">
        <f aca="false">IF(S245&lt;12,"Morning",IF(S245&lt;17,"Afternoon","Evening"))</f>
        <v>Afternoon</v>
      </c>
      <c r="U245" s="16" t="n">
        <f aca="false">G245*H245*0.05</f>
        <v>3.4135</v>
      </c>
    </row>
    <row r="246" customFormat="false" ht="15" hidden="false" customHeight="false" outlineLevel="0" collapsed="false">
      <c r="A246" s="0" t="s">
        <v>503</v>
      </c>
      <c r="B246" s="0" t="s">
        <v>25</v>
      </c>
      <c r="C246" s="0" t="s">
        <v>68</v>
      </c>
      <c r="D246" s="0" t="s">
        <v>21</v>
      </c>
      <c r="E246" s="0" t="s">
        <v>57</v>
      </c>
      <c r="F246" s="0" t="s">
        <v>27</v>
      </c>
      <c r="G246" s="16" t="n">
        <v>93.06</v>
      </c>
      <c r="H246" s="0" t="n">
        <v>6</v>
      </c>
      <c r="I246" s="16" t="n">
        <f aca="false">G246*H246*0.05</f>
        <v>27.918</v>
      </c>
      <c r="J246" s="16" t="n">
        <f aca="false">G246*H246*1.05</f>
        <v>586.278</v>
      </c>
      <c r="K246" s="17" t="n">
        <v>43488</v>
      </c>
      <c r="L246" s="14" t="s">
        <v>108</v>
      </c>
      <c r="M246" s="14" t="s">
        <v>26</v>
      </c>
      <c r="N246" s="16" t="n">
        <f aca="false">G246*H246</f>
        <v>558.36</v>
      </c>
      <c r="O246" s="18" t="n">
        <v>4.761904762</v>
      </c>
      <c r="P246" s="16" t="n">
        <f aca="false">I246</f>
        <v>27.918</v>
      </c>
      <c r="Q246" s="19" t="n">
        <v>7.9</v>
      </c>
      <c r="R246" s="0" t="str">
        <f aca="false">TEXT(K246,"mmm yyyy")</f>
        <v>Jan 2019</v>
      </c>
      <c r="S246" s="14" t="n">
        <f aca="false">HOUR(TIMEVALUE(L246))</f>
        <v>18</v>
      </c>
      <c r="T246" s="0" t="str">
        <f aca="false">IF(S246&lt;12,"Morning",IF(S246&lt;17,"Afternoon","Evening"))</f>
        <v>Evening</v>
      </c>
      <c r="U246" s="16" t="n">
        <f aca="false">G246*H246*0.05</f>
        <v>27.918</v>
      </c>
    </row>
    <row r="247" customFormat="false" ht="15" hidden="false" customHeight="false" outlineLevel="0" collapsed="false">
      <c r="A247" s="0" t="s">
        <v>504</v>
      </c>
      <c r="B247" s="0" t="s">
        <v>29</v>
      </c>
      <c r="C247" s="0" t="s">
        <v>56</v>
      </c>
      <c r="D247" s="0" t="s">
        <v>21</v>
      </c>
      <c r="E247" s="0" t="s">
        <v>57</v>
      </c>
      <c r="F247" s="0" t="s">
        <v>35</v>
      </c>
      <c r="G247" s="16" t="n">
        <v>93.89</v>
      </c>
      <c r="H247" s="0" t="n">
        <v>5</v>
      </c>
      <c r="I247" s="16" t="n">
        <f aca="false">G247*H247*0.05</f>
        <v>23.4725</v>
      </c>
      <c r="J247" s="16" t="n">
        <f aca="false">G247*H247*1.05</f>
        <v>492.9225</v>
      </c>
      <c r="K247" s="17" t="n">
        <v>43488</v>
      </c>
      <c r="L247" s="14" t="s">
        <v>505</v>
      </c>
      <c r="M247" s="14" t="s">
        <v>34</v>
      </c>
      <c r="N247" s="16" t="n">
        <f aca="false">G247*H247</f>
        <v>469.45</v>
      </c>
      <c r="O247" s="18" t="n">
        <v>4.761904762</v>
      </c>
      <c r="P247" s="16" t="n">
        <f aca="false">I247</f>
        <v>23.4725</v>
      </c>
      <c r="Q247" s="19" t="n">
        <v>8.7</v>
      </c>
      <c r="R247" s="0" t="str">
        <f aca="false">TEXT(K247,"mmm yyyy")</f>
        <v>Jan 2019</v>
      </c>
      <c r="S247" s="14" t="n">
        <f aca="false">HOUR(TIMEVALUE(L247))</f>
        <v>19</v>
      </c>
      <c r="T247" s="0" t="str">
        <f aca="false">IF(S247&lt;12,"Morning",IF(S247&lt;17,"Afternoon","Evening"))</f>
        <v>Evening</v>
      </c>
      <c r="U247" s="16" t="n">
        <f aca="false">G247*H247*0.05</f>
        <v>23.4725</v>
      </c>
    </row>
    <row r="248" customFormat="false" ht="15" hidden="false" customHeight="false" outlineLevel="0" collapsed="false">
      <c r="A248" s="0" t="s">
        <v>506</v>
      </c>
      <c r="B248" s="0" t="s">
        <v>33</v>
      </c>
      <c r="C248" s="0" t="s">
        <v>65</v>
      </c>
      <c r="D248" s="0" t="s">
        <v>21</v>
      </c>
      <c r="E248" s="0" t="s">
        <v>60</v>
      </c>
      <c r="F248" s="0" t="s">
        <v>27</v>
      </c>
      <c r="G248" s="16" t="n">
        <v>41.61</v>
      </c>
      <c r="H248" s="0" t="n">
        <v>3</v>
      </c>
      <c r="I248" s="16" t="n">
        <f aca="false">G248*H248*0.05</f>
        <v>6.2415</v>
      </c>
      <c r="J248" s="16" t="n">
        <f aca="false">G248*H248*1.05</f>
        <v>131.0715</v>
      </c>
      <c r="K248" s="17" t="n">
        <v>43488</v>
      </c>
      <c r="L248" s="14" t="s">
        <v>186</v>
      </c>
      <c r="M248" s="14" t="s">
        <v>34</v>
      </c>
      <c r="N248" s="16" t="n">
        <f aca="false">G248*H248</f>
        <v>124.83</v>
      </c>
      <c r="O248" s="18" t="n">
        <v>4.761904762</v>
      </c>
      <c r="P248" s="16" t="n">
        <f aca="false">I248</f>
        <v>6.2415</v>
      </c>
      <c r="Q248" s="19" t="n">
        <v>7.6</v>
      </c>
      <c r="R248" s="0" t="str">
        <f aca="false">TEXT(K248,"mmm yyyy")</f>
        <v>Jan 2019</v>
      </c>
      <c r="S248" s="14" t="n">
        <f aca="false">HOUR(TIMEVALUE(L248))</f>
        <v>17</v>
      </c>
      <c r="T248" s="0" t="str">
        <f aca="false">IF(S248&lt;12,"Morning",IF(S248&lt;17,"Afternoon","Evening"))</f>
        <v>Evening</v>
      </c>
      <c r="U248" s="16" t="n">
        <f aca="false">G248*H248*0.05</f>
        <v>6.2415</v>
      </c>
    </row>
    <row r="249" customFormat="false" ht="15" hidden="false" customHeight="false" outlineLevel="0" collapsed="false">
      <c r="A249" s="0" t="s">
        <v>507</v>
      </c>
      <c r="B249" s="0" t="s">
        <v>25</v>
      </c>
      <c r="C249" s="0" t="s">
        <v>68</v>
      </c>
      <c r="D249" s="0" t="s">
        <v>22</v>
      </c>
      <c r="E249" s="0" t="s">
        <v>57</v>
      </c>
      <c r="F249" s="0" t="s">
        <v>37</v>
      </c>
      <c r="G249" s="16" t="n">
        <v>56.61</v>
      </c>
      <c r="H249" s="0" t="n">
        <v>7</v>
      </c>
      <c r="I249" s="16" t="n">
        <f aca="false">G249*H249*0.05</f>
        <v>19.8135</v>
      </c>
      <c r="J249" s="16" t="n">
        <f aca="false">G249*H249*1.05</f>
        <v>416.0835</v>
      </c>
      <c r="K249" s="17" t="n">
        <v>43488</v>
      </c>
      <c r="L249" s="14" t="s">
        <v>508</v>
      </c>
      <c r="M249" s="14" t="s">
        <v>34</v>
      </c>
      <c r="N249" s="16" t="n">
        <f aca="false">G249*H249</f>
        <v>396.27</v>
      </c>
      <c r="O249" s="18" t="n">
        <v>4.761904762</v>
      </c>
      <c r="P249" s="16" t="n">
        <f aca="false">I249</f>
        <v>19.8135</v>
      </c>
      <c r="Q249" s="19" t="n">
        <v>8</v>
      </c>
      <c r="R249" s="0" t="str">
        <f aca="false">TEXT(K249,"mmm yyyy")</f>
        <v>Jan 2019</v>
      </c>
      <c r="S249" s="14" t="n">
        <f aca="false">HOUR(TIMEVALUE(L249))</f>
        <v>20</v>
      </c>
      <c r="T249" s="0" t="str">
        <f aca="false">IF(S249&lt;12,"Morning",IF(S249&lt;17,"Afternoon","Evening"))</f>
        <v>Evening</v>
      </c>
      <c r="U249" s="16" t="n">
        <f aca="false">G249*H249*0.05</f>
        <v>19.8135</v>
      </c>
    </row>
    <row r="250" customFormat="false" ht="15" hidden="false" customHeight="false" outlineLevel="0" collapsed="false">
      <c r="A250" s="0" t="s">
        <v>509</v>
      </c>
      <c r="B250" s="0" t="s">
        <v>33</v>
      </c>
      <c r="C250" s="0" t="s">
        <v>65</v>
      </c>
      <c r="D250" s="0" t="s">
        <v>22</v>
      </c>
      <c r="E250" s="0" t="s">
        <v>60</v>
      </c>
      <c r="F250" s="0" t="s">
        <v>35</v>
      </c>
      <c r="G250" s="16" t="n">
        <v>32.04</v>
      </c>
      <c r="H250" s="0" t="n">
        <v>8</v>
      </c>
      <c r="I250" s="16" t="n">
        <f aca="false">G250*H250*0.05</f>
        <v>12.816</v>
      </c>
      <c r="J250" s="16" t="n">
        <f aca="false">G250*H250*1.05</f>
        <v>269.136</v>
      </c>
      <c r="K250" s="17" t="n">
        <v>43488</v>
      </c>
      <c r="L250" s="14" t="s">
        <v>494</v>
      </c>
      <c r="M250" s="14" t="s">
        <v>26</v>
      </c>
      <c r="N250" s="16" t="n">
        <f aca="false">G250*H250</f>
        <v>256.32</v>
      </c>
      <c r="O250" s="18" t="n">
        <v>4.761904762</v>
      </c>
      <c r="P250" s="16" t="n">
        <f aca="false">I250</f>
        <v>12.816</v>
      </c>
      <c r="Q250" s="19" t="n">
        <v>7.5</v>
      </c>
      <c r="R250" s="0" t="str">
        <f aca="false">TEXT(K250,"mmm yyyy")</f>
        <v>Jan 2019</v>
      </c>
      <c r="S250" s="14" t="n">
        <f aca="false">HOUR(TIMEVALUE(L250))</f>
        <v>16</v>
      </c>
      <c r="T250" s="0" t="str">
        <f aca="false">IF(S250&lt;12,"Morning",IF(S250&lt;17,"Afternoon","Evening"))</f>
        <v>Afternoon</v>
      </c>
      <c r="U250" s="16" t="n">
        <f aca="false">G250*H250*0.05</f>
        <v>12.816</v>
      </c>
    </row>
    <row r="251" customFormat="false" ht="15" hidden="false" customHeight="false" outlineLevel="0" collapsed="false">
      <c r="A251" s="0" t="s">
        <v>510</v>
      </c>
      <c r="B251" s="0" t="s">
        <v>33</v>
      </c>
      <c r="C251" s="0" t="s">
        <v>65</v>
      </c>
      <c r="D251" s="0" t="s">
        <v>22</v>
      </c>
      <c r="E251" s="0" t="s">
        <v>60</v>
      </c>
      <c r="F251" s="0" t="s">
        <v>35</v>
      </c>
      <c r="G251" s="16" t="n">
        <v>78.83</v>
      </c>
      <c r="H251" s="0" t="n">
        <v>4</v>
      </c>
      <c r="I251" s="16" t="n">
        <f aca="false">G251*H251*0.05</f>
        <v>15.766</v>
      </c>
      <c r="J251" s="16" t="n">
        <f aca="false">G251*H251*1.05</f>
        <v>331.086</v>
      </c>
      <c r="K251" s="17" t="n">
        <v>43489</v>
      </c>
      <c r="L251" s="14" t="s">
        <v>511</v>
      </c>
      <c r="M251" s="14" t="s">
        <v>30</v>
      </c>
      <c r="N251" s="16" t="n">
        <f aca="false">G251*H251</f>
        <v>315.32</v>
      </c>
      <c r="O251" s="18" t="n">
        <v>4.761904762</v>
      </c>
      <c r="P251" s="16" t="n">
        <f aca="false">I251</f>
        <v>15.766</v>
      </c>
      <c r="Q251" s="19" t="n">
        <v>9.5</v>
      </c>
      <c r="R251" s="0" t="str">
        <f aca="false">TEXT(K251,"mmm yyyy")</f>
        <v>Jan 2019</v>
      </c>
      <c r="S251" s="14" t="n">
        <f aca="false">HOUR(TIMEVALUE(L251))</f>
        <v>10</v>
      </c>
      <c r="T251" s="0" t="str">
        <f aca="false">IF(S251&lt;12,"Morning",IF(S251&lt;17,"Afternoon","Evening"))</f>
        <v>Morning</v>
      </c>
      <c r="U251" s="16" t="n">
        <f aca="false">G251*H251*0.05</f>
        <v>15.766</v>
      </c>
    </row>
    <row r="252" customFormat="false" ht="15" hidden="false" customHeight="false" outlineLevel="0" collapsed="false">
      <c r="A252" s="0" t="s">
        <v>512</v>
      </c>
      <c r="B252" s="0" t="s">
        <v>29</v>
      </c>
      <c r="C252" s="0" t="s">
        <v>56</v>
      </c>
      <c r="D252" s="0" t="s">
        <v>21</v>
      </c>
      <c r="E252" s="0" t="s">
        <v>57</v>
      </c>
      <c r="F252" s="0" t="s">
        <v>27</v>
      </c>
      <c r="G252" s="16" t="n">
        <v>15.4</v>
      </c>
      <c r="H252" s="0" t="n">
        <v>10</v>
      </c>
      <c r="I252" s="16" t="n">
        <f aca="false">G252*H252*0.05</f>
        <v>7.7</v>
      </c>
      <c r="J252" s="16" t="n">
        <f aca="false">G252*H252*1.05</f>
        <v>161.7</v>
      </c>
      <c r="K252" s="17" t="n">
        <v>43489</v>
      </c>
      <c r="L252" s="14" t="s">
        <v>508</v>
      </c>
      <c r="M252" s="14" t="s">
        <v>26</v>
      </c>
      <c r="N252" s="16" t="n">
        <f aca="false">G252*H252</f>
        <v>154</v>
      </c>
      <c r="O252" s="18" t="n">
        <v>4.761904762</v>
      </c>
      <c r="P252" s="16" t="n">
        <f aca="false">I252</f>
        <v>7.7</v>
      </c>
      <c r="Q252" s="19" t="n">
        <v>4.5</v>
      </c>
      <c r="R252" s="0" t="str">
        <f aca="false">TEXT(K252,"mmm yyyy")</f>
        <v>Jan 2019</v>
      </c>
      <c r="S252" s="14" t="n">
        <f aca="false">HOUR(TIMEVALUE(L252))</f>
        <v>20</v>
      </c>
      <c r="T252" s="0" t="str">
        <f aca="false">IF(S252&lt;12,"Morning",IF(S252&lt;17,"Afternoon","Evening"))</f>
        <v>Evening</v>
      </c>
      <c r="U252" s="16" t="n">
        <f aca="false">G252*H252*0.05</f>
        <v>7.7</v>
      </c>
    </row>
    <row r="253" customFormat="false" ht="15" hidden="false" customHeight="false" outlineLevel="0" collapsed="false">
      <c r="A253" s="0" t="s">
        <v>513</v>
      </c>
      <c r="B253" s="0" t="s">
        <v>25</v>
      </c>
      <c r="C253" s="0" t="s">
        <v>68</v>
      </c>
      <c r="D253" s="0" t="s">
        <v>22</v>
      </c>
      <c r="E253" s="0" t="s">
        <v>57</v>
      </c>
      <c r="F253" s="0" t="s">
        <v>27</v>
      </c>
      <c r="G253" s="16" t="n">
        <v>73</v>
      </c>
      <c r="H253" s="0" t="n">
        <v>8</v>
      </c>
      <c r="I253" s="16" t="n">
        <f aca="false">G253*H253*0.05</f>
        <v>29.2</v>
      </c>
      <c r="J253" s="16" t="n">
        <f aca="false">G253*H253*1.05</f>
        <v>613.2</v>
      </c>
      <c r="K253" s="17" t="n">
        <v>43489</v>
      </c>
      <c r="L253" s="14" t="s">
        <v>306</v>
      </c>
      <c r="M253" s="14" t="s">
        <v>26</v>
      </c>
      <c r="N253" s="16" t="n">
        <f aca="false">G253*H253</f>
        <v>584</v>
      </c>
      <c r="O253" s="18" t="n">
        <v>4.761904762</v>
      </c>
      <c r="P253" s="16" t="n">
        <f aca="false">I253</f>
        <v>29.2</v>
      </c>
      <c r="Q253" s="19" t="n">
        <v>5.9</v>
      </c>
      <c r="R253" s="0" t="str">
        <f aca="false">TEXT(K253,"mmm yyyy")</f>
        <v>Jan 2019</v>
      </c>
      <c r="S253" s="14" t="n">
        <f aca="false">HOUR(TIMEVALUE(L253))</f>
        <v>16</v>
      </c>
      <c r="T253" s="0" t="str">
        <f aca="false">IF(S253&lt;12,"Morning",IF(S253&lt;17,"Afternoon","Evening"))</f>
        <v>Afternoon</v>
      </c>
      <c r="U253" s="16" t="n">
        <f aca="false">G253*H253*0.05</f>
        <v>29.2</v>
      </c>
    </row>
    <row r="254" customFormat="false" ht="15" hidden="false" customHeight="false" outlineLevel="0" collapsed="false">
      <c r="A254" s="0" t="s">
        <v>514</v>
      </c>
      <c r="B254" s="0" t="s">
        <v>25</v>
      </c>
      <c r="C254" s="0" t="s">
        <v>68</v>
      </c>
      <c r="D254" s="0" t="s">
        <v>21</v>
      </c>
      <c r="E254" s="0" t="s">
        <v>57</v>
      </c>
      <c r="F254" s="0" t="s">
        <v>31</v>
      </c>
      <c r="G254" s="16" t="n">
        <v>40.27</v>
      </c>
      <c r="H254" s="0" t="n">
        <v>3</v>
      </c>
      <c r="I254" s="16" t="n">
        <f aca="false">G254*H254*0.05</f>
        <v>6.0405</v>
      </c>
      <c r="J254" s="16" t="n">
        <f aca="false">G254*H254*1.05</f>
        <v>126.8505</v>
      </c>
      <c r="K254" s="17" t="n">
        <v>43489</v>
      </c>
      <c r="L254" s="14" t="s">
        <v>515</v>
      </c>
      <c r="M254" s="14" t="s">
        <v>26</v>
      </c>
      <c r="N254" s="16" t="n">
        <f aca="false">G254*H254</f>
        <v>120.81</v>
      </c>
      <c r="O254" s="18" t="n">
        <v>4.761904762</v>
      </c>
      <c r="P254" s="16" t="n">
        <f aca="false">I254</f>
        <v>6.0405</v>
      </c>
      <c r="Q254" s="19" t="n">
        <v>8.5</v>
      </c>
      <c r="R254" s="0" t="str">
        <f aca="false">TEXT(K254,"mmm yyyy")</f>
        <v>Jan 2019</v>
      </c>
      <c r="S254" s="14" t="n">
        <f aca="false">HOUR(TIMEVALUE(L254))</f>
        <v>16</v>
      </c>
      <c r="T254" s="0" t="str">
        <f aca="false">IF(S254&lt;12,"Morning",IF(S254&lt;17,"Afternoon","Evening"))</f>
        <v>Afternoon</v>
      </c>
      <c r="U254" s="16" t="n">
        <f aca="false">G254*H254*0.05</f>
        <v>6.0405</v>
      </c>
    </row>
    <row r="255" customFormat="false" ht="15" hidden="false" customHeight="false" outlineLevel="0" collapsed="false">
      <c r="A255" s="0" t="s">
        <v>516</v>
      </c>
      <c r="B255" s="0" t="s">
        <v>33</v>
      </c>
      <c r="C255" s="0" t="s">
        <v>65</v>
      </c>
      <c r="D255" s="0" t="s">
        <v>22</v>
      </c>
      <c r="E255" s="0" t="s">
        <v>57</v>
      </c>
      <c r="F255" s="0" t="s">
        <v>23</v>
      </c>
      <c r="G255" s="16" t="n">
        <v>47.64</v>
      </c>
      <c r="H255" s="0" t="n">
        <v>9</v>
      </c>
      <c r="I255" s="16" t="n">
        <f aca="false">G255*H255*0.05</f>
        <v>21.438</v>
      </c>
      <c r="J255" s="16" t="n">
        <f aca="false">G255*H255*1.05</f>
        <v>450.198</v>
      </c>
      <c r="K255" s="17" t="n">
        <v>43489</v>
      </c>
      <c r="L255" s="14" t="s">
        <v>517</v>
      </c>
      <c r="M255" s="14" t="s">
        <v>30</v>
      </c>
      <c r="N255" s="16" t="n">
        <f aca="false">G255*H255</f>
        <v>428.76</v>
      </c>
      <c r="O255" s="18" t="n">
        <v>4.761904762</v>
      </c>
      <c r="P255" s="16" t="n">
        <f aca="false">I255</f>
        <v>21.438</v>
      </c>
      <c r="Q255" s="19" t="n">
        <v>4.9</v>
      </c>
      <c r="R255" s="0" t="str">
        <f aca="false">TEXT(K255,"mmm yyyy")</f>
        <v>Jan 2019</v>
      </c>
      <c r="S255" s="14" t="n">
        <f aca="false">HOUR(TIMEVALUE(L255))</f>
        <v>15</v>
      </c>
      <c r="T255" s="0" t="str">
        <f aca="false">IF(S255&lt;12,"Morning",IF(S255&lt;17,"Afternoon","Evening"))</f>
        <v>Afternoon</v>
      </c>
      <c r="U255" s="16" t="n">
        <f aca="false">G255*H255*0.05</f>
        <v>21.438</v>
      </c>
    </row>
    <row r="256" customFormat="false" ht="15" hidden="false" customHeight="false" outlineLevel="0" collapsed="false">
      <c r="A256" s="0" t="s">
        <v>518</v>
      </c>
      <c r="B256" s="0" t="s">
        <v>33</v>
      </c>
      <c r="C256" s="0" t="s">
        <v>65</v>
      </c>
      <c r="D256" s="0" t="s">
        <v>21</v>
      </c>
      <c r="E256" s="0" t="s">
        <v>57</v>
      </c>
      <c r="F256" s="0" t="s">
        <v>23</v>
      </c>
      <c r="G256" s="16" t="n">
        <v>72.46</v>
      </c>
      <c r="H256" s="0" t="n">
        <v>8</v>
      </c>
      <c r="I256" s="16" t="n">
        <f aca="false">G256*H256*0.05</f>
        <v>28.984</v>
      </c>
      <c r="J256" s="16" t="n">
        <f aca="false">G256*H256*1.05</f>
        <v>608.664</v>
      </c>
      <c r="K256" s="17" t="n">
        <v>43489</v>
      </c>
      <c r="L256" s="14" t="s">
        <v>519</v>
      </c>
      <c r="M256" s="14" t="s">
        <v>26</v>
      </c>
      <c r="N256" s="16" t="n">
        <f aca="false">G256*H256</f>
        <v>579.68</v>
      </c>
      <c r="O256" s="18" t="n">
        <v>4.761904762</v>
      </c>
      <c r="P256" s="16" t="n">
        <f aca="false">I256</f>
        <v>28.984</v>
      </c>
      <c r="Q256" s="19" t="n">
        <v>7.1</v>
      </c>
      <c r="R256" s="0" t="str">
        <f aca="false">TEXT(K256,"mmm yyyy")</f>
        <v>Jan 2019</v>
      </c>
      <c r="S256" s="14" t="n">
        <f aca="false">HOUR(TIMEVALUE(L256))</f>
        <v>14</v>
      </c>
      <c r="T256" s="0" t="str">
        <f aca="false">IF(S256&lt;12,"Morning",IF(S256&lt;17,"Afternoon","Evening"))</f>
        <v>Afternoon</v>
      </c>
      <c r="U256" s="16" t="n">
        <f aca="false">G256*H256*0.05</f>
        <v>28.984</v>
      </c>
    </row>
    <row r="257" customFormat="false" ht="15" hidden="false" customHeight="false" outlineLevel="0" collapsed="false">
      <c r="A257" s="0" t="s">
        <v>520</v>
      </c>
      <c r="B257" s="0" t="s">
        <v>29</v>
      </c>
      <c r="C257" s="0" t="s">
        <v>56</v>
      </c>
      <c r="D257" s="0" t="s">
        <v>22</v>
      </c>
      <c r="E257" s="0" t="s">
        <v>60</v>
      </c>
      <c r="F257" s="0" t="s">
        <v>31</v>
      </c>
      <c r="G257" s="16" t="n">
        <v>57.26</v>
      </c>
      <c r="H257" s="0" t="n">
        <v>2</v>
      </c>
      <c r="I257" s="16" t="n">
        <f aca="false">G257*H257*0.05</f>
        <v>5.726</v>
      </c>
      <c r="J257" s="16" t="n">
        <f aca="false">G257*H257*1.05</f>
        <v>120.246</v>
      </c>
      <c r="K257" s="17" t="n">
        <v>43489</v>
      </c>
      <c r="L257" s="14" t="s">
        <v>166</v>
      </c>
      <c r="M257" s="14" t="s">
        <v>34</v>
      </c>
      <c r="N257" s="16" t="n">
        <f aca="false">G257*H257</f>
        <v>114.52</v>
      </c>
      <c r="O257" s="18" t="n">
        <v>4.761904762</v>
      </c>
      <c r="P257" s="16" t="n">
        <f aca="false">I257</f>
        <v>5.726</v>
      </c>
      <c r="Q257" s="19" t="n">
        <v>5.5</v>
      </c>
      <c r="R257" s="0" t="str">
        <f aca="false">TEXT(K257,"mmm yyyy")</f>
        <v>Jan 2019</v>
      </c>
      <c r="S257" s="14" t="n">
        <f aca="false">HOUR(TIMEVALUE(L257))</f>
        <v>15</v>
      </c>
      <c r="T257" s="0" t="str">
        <f aca="false">IF(S257&lt;12,"Morning",IF(S257&lt;17,"Afternoon","Evening"))</f>
        <v>Afternoon</v>
      </c>
      <c r="U257" s="16" t="n">
        <f aca="false">G257*H257*0.05</f>
        <v>5.726</v>
      </c>
    </row>
    <row r="258" customFormat="false" ht="15" hidden="false" customHeight="false" outlineLevel="0" collapsed="false">
      <c r="A258" s="0" t="s">
        <v>521</v>
      </c>
      <c r="B258" s="0" t="s">
        <v>25</v>
      </c>
      <c r="C258" s="0" t="s">
        <v>68</v>
      </c>
      <c r="D258" s="0" t="s">
        <v>21</v>
      </c>
      <c r="E258" s="0" t="s">
        <v>60</v>
      </c>
      <c r="F258" s="0" t="s">
        <v>31</v>
      </c>
      <c r="G258" s="16" t="n">
        <v>47.89</v>
      </c>
      <c r="H258" s="0" t="n">
        <v>6</v>
      </c>
      <c r="I258" s="16" t="n">
        <f aca="false">G258*H258*0.05</f>
        <v>14.367</v>
      </c>
      <c r="J258" s="16" t="n">
        <f aca="false">G258*H258*1.05</f>
        <v>301.707</v>
      </c>
      <c r="K258" s="17" t="n">
        <v>43489</v>
      </c>
      <c r="L258" s="14" t="s">
        <v>522</v>
      </c>
      <c r="M258" s="14" t="s">
        <v>30</v>
      </c>
      <c r="N258" s="16" t="n">
        <f aca="false">G258*H258</f>
        <v>287.34</v>
      </c>
      <c r="O258" s="18" t="n">
        <v>4.761904762</v>
      </c>
      <c r="P258" s="16" t="n">
        <f aca="false">I258</f>
        <v>14.367</v>
      </c>
      <c r="Q258" s="19" t="n">
        <v>8.3</v>
      </c>
      <c r="R258" s="0" t="str">
        <f aca="false">TEXT(K258,"mmm yyyy")</f>
        <v>Jan 2019</v>
      </c>
      <c r="S258" s="14" t="n">
        <f aca="false">HOUR(TIMEVALUE(L258))</f>
        <v>20</v>
      </c>
      <c r="T258" s="0" t="str">
        <f aca="false">IF(S258&lt;12,"Morning",IF(S258&lt;17,"Afternoon","Evening"))</f>
        <v>Evening</v>
      </c>
      <c r="U258" s="16" t="n">
        <f aca="false">G258*H258*0.05</f>
        <v>14.367</v>
      </c>
    </row>
    <row r="259" customFormat="false" ht="15" hidden="false" customHeight="false" outlineLevel="0" collapsed="false">
      <c r="A259" s="0" t="s">
        <v>523</v>
      </c>
      <c r="B259" s="0" t="s">
        <v>25</v>
      </c>
      <c r="C259" s="0" t="s">
        <v>68</v>
      </c>
      <c r="D259" s="0" t="s">
        <v>22</v>
      </c>
      <c r="E259" s="0" t="s">
        <v>57</v>
      </c>
      <c r="F259" s="0" t="s">
        <v>35</v>
      </c>
      <c r="G259" s="16" t="n">
        <v>70.78</v>
      </c>
      <c r="H259" s="0" t="n">
        <v>5</v>
      </c>
      <c r="I259" s="16" t="n">
        <f aca="false">G259*H259*0.05</f>
        <v>17.695</v>
      </c>
      <c r="J259" s="16" t="n">
        <f aca="false">G259*H259*1.05</f>
        <v>371.595</v>
      </c>
      <c r="K259" s="17" t="n">
        <v>43490</v>
      </c>
      <c r="L259" s="14" t="s">
        <v>93</v>
      </c>
      <c r="M259" s="14" t="s">
        <v>30</v>
      </c>
      <c r="N259" s="16" t="n">
        <f aca="false">G259*H259</f>
        <v>353.9</v>
      </c>
      <c r="O259" s="18" t="n">
        <v>4.761904762</v>
      </c>
      <c r="P259" s="16" t="n">
        <f aca="false">I259</f>
        <v>17.695</v>
      </c>
      <c r="Q259" s="19" t="n">
        <v>8.8</v>
      </c>
      <c r="R259" s="0" t="str">
        <f aca="false">TEXT(K259,"mmm yyyy")</f>
        <v>Jan 2019</v>
      </c>
      <c r="S259" s="14" t="n">
        <f aca="false">HOUR(TIMEVALUE(L259))</f>
        <v>19</v>
      </c>
      <c r="T259" s="0" t="str">
        <f aca="false">IF(S259&lt;12,"Morning",IF(S259&lt;17,"Afternoon","Evening"))</f>
        <v>Evening</v>
      </c>
      <c r="U259" s="16" t="n">
        <f aca="false">G259*H259*0.05</f>
        <v>17.695</v>
      </c>
    </row>
    <row r="260" customFormat="false" ht="15" hidden="false" customHeight="false" outlineLevel="0" collapsed="false">
      <c r="A260" s="0" t="s">
        <v>524</v>
      </c>
      <c r="B260" s="0" t="s">
        <v>29</v>
      </c>
      <c r="C260" s="0" t="s">
        <v>56</v>
      </c>
      <c r="D260" s="0" t="s">
        <v>22</v>
      </c>
      <c r="E260" s="0" t="s">
        <v>60</v>
      </c>
      <c r="F260" s="0" t="s">
        <v>35</v>
      </c>
      <c r="G260" s="16" t="n">
        <v>23.65</v>
      </c>
      <c r="H260" s="0" t="n">
        <v>8</v>
      </c>
      <c r="I260" s="16" t="n">
        <f aca="false">G260*H260*0.05</f>
        <v>9.46</v>
      </c>
      <c r="J260" s="16" t="n">
        <f aca="false">G260*H260*1.05</f>
        <v>198.66</v>
      </c>
      <c r="K260" s="17" t="n">
        <v>43490</v>
      </c>
      <c r="L260" s="14" t="s">
        <v>212</v>
      </c>
      <c r="M260" s="14" t="s">
        <v>26</v>
      </c>
      <c r="N260" s="16" t="n">
        <f aca="false">G260*H260</f>
        <v>189.2</v>
      </c>
      <c r="O260" s="18" t="n">
        <v>4.761904762</v>
      </c>
      <c r="P260" s="16" t="n">
        <f aca="false">I260</f>
        <v>9.46</v>
      </c>
      <c r="Q260" s="19" t="n">
        <v>4.9</v>
      </c>
      <c r="R260" s="0" t="str">
        <f aca="false">TEXT(K260,"mmm yyyy")</f>
        <v>Jan 2019</v>
      </c>
      <c r="S260" s="14" t="n">
        <f aca="false">HOUR(TIMEVALUE(L260))</f>
        <v>16</v>
      </c>
      <c r="T260" s="0" t="str">
        <f aca="false">IF(S260&lt;12,"Morning",IF(S260&lt;17,"Afternoon","Evening"))</f>
        <v>Afternoon</v>
      </c>
      <c r="U260" s="16" t="n">
        <f aca="false">G260*H260*0.05</f>
        <v>9.46</v>
      </c>
    </row>
    <row r="261" customFormat="false" ht="15" hidden="false" customHeight="false" outlineLevel="0" collapsed="false">
      <c r="A261" s="0" t="s">
        <v>525</v>
      </c>
      <c r="B261" s="0" t="s">
        <v>29</v>
      </c>
      <c r="C261" s="0" t="s">
        <v>56</v>
      </c>
      <c r="D261" s="0" t="s">
        <v>21</v>
      </c>
      <c r="E261" s="0" t="s">
        <v>60</v>
      </c>
      <c r="F261" s="0" t="s">
        <v>36</v>
      </c>
      <c r="G261" s="16" t="n">
        <v>17.25</v>
      </c>
      <c r="H261" s="0" t="n">
        <v>7</v>
      </c>
      <c r="I261" s="16" t="n">
        <f aca="false">G261*H261*0.05</f>
        <v>6.0375</v>
      </c>
      <c r="J261" s="16" t="n">
        <f aca="false">G261*H261*1.05</f>
        <v>126.7875</v>
      </c>
      <c r="K261" s="17" t="n">
        <v>43490</v>
      </c>
      <c r="L261" s="14" t="s">
        <v>238</v>
      </c>
      <c r="M261" s="14" t="s">
        <v>30</v>
      </c>
      <c r="N261" s="16" t="n">
        <f aca="false">G261*H261</f>
        <v>120.75</v>
      </c>
      <c r="O261" s="18" t="n">
        <v>4.761904762</v>
      </c>
      <c r="P261" s="16" t="n">
        <f aca="false">I261</f>
        <v>6.0375</v>
      </c>
      <c r="Q261" s="19" t="n">
        <v>6.1</v>
      </c>
      <c r="R261" s="0" t="str">
        <f aca="false">TEXT(K261,"mmm yyyy")</f>
        <v>Jan 2019</v>
      </c>
      <c r="S261" s="14" t="n">
        <f aca="false">HOUR(TIMEVALUE(L261))</f>
        <v>19</v>
      </c>
      <c r="T261" s="0" t="str">
        <f aca="false">IF(S261&lt;12,"Morning",IF(S261&lt;17,"Afternoon","Evening"))</f>
        <v>Evening</v>
      </c>
      <c r="U261" s="16" t="n">
        <f aca="false">G261*H261*0.05</f>
        <v>6.0375</v>
      </c>
    </row>
    <row r="262" customFormat="false" ht="15" hidden="false" customHeight="false" outlineLevel="0" collapsed="false">
      <c r="A262" s="0" t="s">
        <v>526</v>
      </c>
      <c r="B262" s="0" t="s">
        <v>25</v>
      </c>
      <c r="C262" s="0" t="s">
        <v>68</v>
      </c>
      <c r="D262" s="0" t="s">
        <v>21</v>
      </c>
      <c r="E262" s="0" t="s">
        <v>60</v>
      </c>
      <c r="F262" s="0" t="s">
        <v>27</v>
      </c>
      <c r="G262" s="16" t="n">
        <v>44.69</v>
      </c>
      <c r="H262" s="0" t="n">
        <v>1</v>
      </c>
      <c r="I262" s="16" t="n">
        <f aca="false">G262*H262*0.05</f>
        <v>2.2345</v>
      </c>
      <c r="J262" s="16" t="n">
        <f aca="false">G262*H262*1.05</f>
        <v>46.9245</v>
      </c>
      <c r="K262" s="17" t="n">
        <v>43490</v>
      </c>
      <c r="L262" s="14" t="s">
        <v>274</v>
      </c>
      <c r="M262" s="14" t="s">
        <v>30</v>
      </c>
      <c r="N262" s="16" t="n">
        <f aca="false">G262*H262</f>
        <v>44.69</v>
      </c>
      <c r="O262" s="18" t="n">
        <v>4.761904762</v>
      </c>
      <c r="P262" s="16" t="n">
        <f aca="false">I262</f>
        <v>2.2345</v>
      </c>
      <c r="Q262" s="19" t="n">
        <v>9.3</v>
      </c>
      <c r="R262" s="0" t="str">
        <f aca="false">TEXT(K262,"mmm yyyy")</f>
        <v>Jan 2019</v>
      </c>
      <c r="S262" s="14" t="n">
        <f aca="false">HOUR(TIMEVALUE(L262))</f>
        <v>15</v>
      </c>
      <c r="T262" s="0" t="str">
        <f aca="false">IF(S262&lt;12,"Morning",IF(S262&lt;17,"Afternoon","Evening"))</f>
        <v>Afternoon</v>
      </c>
      <c r="U262" s="16" t="n">
        <f aca="false">G262*H262*0.05</f>
        <v>2.2345</v>
      </c>
    </row>
    <row r="263" customFormat="false" ht="15" hidden="false" customHeight="false" outlineLevel="0" collapsed="false">
      <c r="A263" s="0" t="s">
        <v>527</v>
      </c>
      <c r="B263" s="0" t="s">
        <v>25</v>
      </c>
      <c r="C263" s="0" t="s">
        <v>68</v>
      </c>
      <c r="D263" s="0" t="s">
        <v>21</v>
      </c>
      <c r="E263" s="0" t="s">
        <v>60</v>
      </c>
      <c r="F263" s="0" t="s">
        <v>31</v>
      </c>
      <c r="G263" s="16" t="n">
        <v>15.73</v>
      </c>
      <c r="H263" s="0" t="n">
        <v>7</v>
      </c>
      <c r="I263" s="16" t="n">
        <f aca="false">G263*H263*0.05</f>
        <v>5.5055</v>
      </c>
      <c r="J263" s="16" t="n">
        <f aca="false">G263*H263*1.05</f>
        <v>115.6155</v>
      </c>
      <c r="K263" s="17" t="n">
        <v>43490</v>
      </c>
      <c r="L263" s="14" t="s">
        <v>528</v>
      </c>
      <c r="M263" s="14" t="s">
        <v>30</v>
      </c>
      <c r="N263" s="16" t="n">
        <f aca="false">G263*H263</f>
        <v>110.11</v>
      </c>
      <c r="O263" s="18" t="n">
        <v>4.761904762</v>
      </c>
      <c r="P263" s="16" t="n">
        <f aca="false">I263</f>
        <v>5.5055</v>
      </c>
      <c r="Q263" s="19" t="n">
        <v>6</v>
      </c>
      <c r="R263" s="0" t="str">
        <f aca="false">TEXT(K263,"mmm yyyy")</f>
        <v>Jan 2019</v>
      </c>
      <c r="S263" s="14" t="n">
        <f aca="false">HOUR(TIMEVALUE(L263))</f>
        <v>10</v>
      </c>
      <c r="T263" s="0" t="str">
        <f aca="false">IF(S263&lt;12,"Morning",IF(S263&lt;17,"Afternoon","Evening"))</f>
        <v>Morning</v>
      </c>
      <c r="U263" s="16" t="n">
        <f aca="false">G263*H263*0.05</f>
        <v>5.5055</v>
      </c>
    </row>
    <row r="264" customFormat="false" ht="15" hidden="false" customHeight="false" outlineLevel="0" collapsed="false">
      <c r="A264" s="0" t="s">
        <v>529</v>
      </c>
      <c r="B264" s="0" t="s">
        <v>33</v>
      </c>
      <c r="C264" s="0" t="s">
        <v>65</v>
      </c>
      <c r="D264" s="0" t="s">
        <v>22</v>
      </c>
      <c r="E264" s="0" t="s">
        <v>60</v>
      </c>
      <c r="F264" s="0" t="s">
        <v>31</v>
      </c>
      <c r="G264" s="16" t="n">
        <v>15.8</v>
      </c>
      <c r="H264" s="0" t="n">
        <v>8</v>
      </c>
      <c r="I264" s="16" t="n">
        <f aca="false">G264*H264*0.05</f>
        <v>6.32</v>
      </c>
      <c r="J264" s="16" t="n">
        <f aca="false">G264*H264*1.05</f>
        <v>132.72</v>
      </c>
      <c r="K264" s="17" t="n">
        <v>43490</v>
      </c>
      <c r="L264" s="14" t="s">
        <v>530</v>
      </c>
      <c r="M264" s="14" t="s">
        <v>30</v>
      </c>
      <c r="N264" s="16" t="n">
        <f aca="false">G264*H264</f>
        <v>126.4</v>
      </c>
      <c r="O264" s="18" t="n">
        <v>4.761904762</v>
      </c>
      <c r="P264" s="16" t="n">
        <f aca="false">I264</f>
        <v>6.32</v>
      </c>
      <c r="Q264" s="19" t="n">
        <v>10</v>
      </c>
      <c r="R264" s="0" t="str">
        <f aca="false">TEXT(K264,"mmm yyyy")</f>
        <v>Jan 2019</v>
      </c>
      <c r="S264" s="14" t="n">
        <f aca="false">HOUR(TIMEVALUE(L264))</f>
        <v>15</v>
      </c>
      <c r="T264" s="0" t="str">
        <f aca="false">IF(S264&lt;12,"Morning",IF(S264&lt;17,"Afternoon","Evening"))</f>
        <v>Afternoon</v>
      </c>
      <c r="U264" s="16" t="n">
        <f aca="false">G264*H264*0.05</f>
        <v>6.32</v>
      </c>
    </row>
    <row r="265" customFormat="false" ht="15" hidden="false" customHeight="false" outlineLevel="0" collapsed="false">
      <c r="A265" s="0" t="s">
        <v>531</v>
      </c>
      <c r="B265" s="0" t="s">
        <v>33</v>
      </c>
      <c r="C265" s="0" t="s">
        <v>65</v>
      </c>
      <c r="D265" s="0" t="s">
        <v>21</v>
      </c>
      <c r="E265" s="0" t="s">
        <v>60</v>
      </c>
      <c r="F265" s="0" t="s">
        <v>31</v>
      </c>
      <c r="G265" s="16" t="n">
        <v>39.75</v>
      </c>
      <c r="H265" s="0" t="n">
        <v>1</v>
      </c>
      <c r="I265" s="16" t="n">
        <f aca="false">G265*H265*0.05</f>
        <v>1.9875</v>
      </c>
      <c r="J265" s="16" t="n">
        <f aca="false">G265*H265*1.05</f>
        <v>41.7375</v>
      </c>
      <c r="K265" s="17" t="n">
        <v>43490</v>
      </c>
      <c r="L265" s="14" t="s">
        <v>532</v>
      </c>
      <c r="M265" s="14" t="s">
        <v>34</v>
      </c>
      <c r="N265" s="16" t="n">
        <f aca="false">G265*H265</f>
        <v>39.75</v>
      </c>
      <c r="O265" s="18" t="n">
        <v>4.761904762</v>
      </c>
      <c r="P265" s="16" t="n">
        <f aca="false">I265</f>
        <v>1.9875</v>
      </c>
      <c r="Q265" s="19" t="n">
        <v>6.7</v>
      </c>
      <c r="R265" s="0" t="str">
        <f aca="false">TEXT(K265,"mmm yyyy")</f>
        <v>Jan 2019</v>
      </c>
      <c r="S265" s="14" t="n">
        <f aca="false">HOUR(TIMEVALUE(L265))</f>
        <v>20</v>
      </c>
      <c r="T265" s="0" t="str">
        <f aca="false">IF(S265&lt;12,"Morning",IF(S265&lt;17,"Afternoon","Evening"))</f>
        <v>Evening</v>
      </c>
      <c r="U265" s="16" t="n">
        <f aca="false">G265*H265*0.05</f>
        <v>1.9875</v>
      </c>
    </row>
    <row r="266" customFormat="false" ht="15" hidden="false" customHeight="false" outlineLevel="0" collapsed="false">
      <c r="A266" s="0" t="s">
        <v>533</v>
      </c>
      <c r="B266" s="0" t="s">
        <v>25</v>
      </c>
      <c r="C266" s="0" t="s">
        <v>68</v>
      </c>
      <c r="D266" s="0" t="s">
        <v>22</v>
      </c>
      <c r="E266" s="0" t="s">
        <v>57</v>
      </c>
      <c r="F266" s="0" t="s">
        <v>27</v>
      </c>
      <c r="G266" s="16" t="n">
        <v>20.66</v>
      </c>
      <c r="H266" s="0" t="n">
        <v>4</v>
      </c>
      <c r="I266" s="16" t="n">
        <f aca="false">G266*H266*0.05</f>
        <v>4.132</v>
      </c>
      <c r="J266" s="16" t="n">
        <f aca="false">G266*H266*1.05</f>
        <v>86.772</v>
      </c>
      <c r="K266" s="17" t="n">
        <v>43490</v>
      </c>
      <c r="L266" s="14" t="s">
        <v>248</v>
      </c>
      <c r="M266" s="14" t="s">
        <v>34</v>
      </c>
      <c r="N266" s="16" t="n">
        <f aca="false">G266*H266</f>
        <v>82.64</v>
      </c>
      <c r="O266" s="18" t="n">
        <v>4.761904762</v>
      </c>
      <c r="P266" s="16" t="n">
        <f aca="false">I266</f>
        <v>4.132</v>
      </c>
      <c r="Q266" s="19" t="n">
        <v>5.7</v>
      </c>
      <c r="R266" s="0" t="str">
        <f aca="false">TEXT(K266,"mmm yyyy")</f>
        <v>Jan 2019</v>
      </c>
      <c r="S266" s="14" t="n">
        <f aca="false">HOUR(TIMEVALUE(L266))</f>
        <v>10</v>
      </c>
      <c r="T266" s="0" t="str">
        <f aca="false">IF(S266&lt;12,"Morning",IF(S266&lt;17,"Afternoon","Evening"))</f>
        <v>Morning</v>
      </c>
      <c r="U266" s="16" t="n">
        <f aca="false">G266*H266*0.05</f>
        <v>4.132</v>
      </c>
    </row>
    <row r="267" customFormat="false" ht="15" hidden="false" customHeight="false" outlineLevel="0" collapsed="false">
      <c r="A267" s="0" t="s">
        <v>534</v>
      </c>
      <c r="B267" s="0" t="s">
        <v>29</v>
      </c>
      <c r="C267" s="0" t="s">
        <v>56</v>
      </c>
      <c r="D267" s="0" t="s">
        <v>22</v>
      </c>
      <c r="E267" s="0" t="s">
        <v>57</v>
      </c>
      <c r="F267" s="0" t="s">
        <v>36</v>
      </c>
      <c r="G267" s="16" t="n">
        <v>18.48</v>
      </c>
      <c r="H267" s="0" t="n">
        <v>7</v>
      </c>
      <c r="I267" s="16" t="n">
        <f aca="false">G267*H267*0.05</f>
        <v>6.468</v>
      </c>
      <c r="J267" s="16" t="n">
        <f aca="false">G267*H267*1.05</f>
        <v>135.828</v>
      </c>
      <c r="K267" s="17" t="n">
        <v>43490</v>
      </c>
      <c r="L267" s="14" t="s">
        <v>535</v>
      </c>
      <c r="M267" s="14" t="s">
        <v>34</v>
      </c>
      <c r="N267" s="16" t="n">
        <f aca="false">G267*H267</f>
        <v>129.36</v>
      </c>
      <c r="O267" s="18" t="n">
        <v>4.761904762</v>
      </c>
      <c r="P267" s="16" t="n">
        <f aca="false">I267</f>
        <v>6.468</v>
      </c>
      <c r="Q267" s="19" t="n">
        <v>4.4</v>
      </c>
      <c r="R267" s="0" t="str">
        <f aca="false">TEXT(K267,"mmm yyyy")</f>
        <v>Jan 2019</v>
      </c>
      <c r="S267" s="14" t="n">
        <f aca="false">HOUR(TIMEVALUE(L267))</f>
        <v>11</v>
      </c>
      <c r="T267" s="0" t="str">
        <f aca="false">IF(S267&lt;12,"Morning",IF(S267&lt;17,"Afternoon","Evening"))</f>
        <v>Morning</v>
      </c>
      <c r="U267" s="16" t="n">
        <f aca="false">G267*H267*0.05</f>
        <v>6.468</v>
      </c>
    </row>
    <row r="268" customFormat="false" ht="15" hidden="false" customHeight="false" outlineLevel="0" collapsed="false">
      <c r="A268" s="0" t="s">
        <v>536</v>
      </c>
      <c r="B268" s="0" t="s">
        <v>25</v>
      </c>
      <c r="C268" s="0" t="s">
        <v>68</v>
      </c>
      <c r="D268" s="0" t="s">
        <v>22</v>
      </c>
      <c r="E268" s="0" t="s">
        <v>57</v>
      </c>
      <c r="F268" s="0" t="s">
        <v>23</v>
      </c>
      <c r="G268" s="16" t="n">
        <v>82.71</v>
      </c>
      <c r="H268" s="0" t="n">
        <v>7</v>
      </c>
      <c r="I268" s="16" t="n">
        <f aca="false">G268*H268*0.05</f>
        <v>28.9485</v>
      </c>
      <c r="J268" s="16" t="n">
        <f aca="false">G268*H268*1.05</f>
        <v>607.9185</v>
      </c>
      <c r="K268" s="17" t="n">
        <v>43490</v>
      </c>
      <c r="L268" s="14" t="s">
        <v>537</v>
      </c>
      <c r="M268" s="14" t="s">
        <v>30</v>
      </c>
      <c r="N268" s="16" t="n">
        <f aca="false">G268*H268</f>
        <v>578.97</v>
      </c>
      <c r="O268" s="18" t="n">
        <v>4.761904762</v>
      </c>
      <c r="P268" s="16" t="n">
        <f aca="false">I268</f>
        <v>28.9485</v>
      </c>
      <c r="Q268" s="19" t="n">
        <v>6.3</v>
      </c>
      <c r="R268" s="0" t="str">
        <f aca="false">TEXT(K268,"mmm yyyy")</f>
        <v>Jan 2019</v>
      </c>
      <c r="S268" s="14" t="n">
        <f aca="false">HOUR(TIMEVALUE(L268))</f>
        <v>18</v>
      </c>
      <c r="T268" s="0" t="str">
        <f aca="false">IF(S268&lt;12,"Morning",IF(S268&lt;17,"Afternoon","Evening"))</f>
        <v>Evening</v>
      </c>
      <c r="U268" s="16" t="n">
        <f aca="false">G268*H268*0.05</f>
        <v>28.9485</v>
      </c>
    </row>
    <row r="269" customFormat="false" ht="15" hidden="false" customHeight="false" outlineLevel="0" collapsed="false">
      <c r="A269" s="0" t="s">
        <v>538</v>
      </c>
      <c r="B269" s="0" t="s">
        <v>33</v>
      </c>
      <c r="C269" s="0" t="s">
        <v>65</v>
      </c>
      <c r="D269" s="0" t="s">
        <v>21</v>
      </c>
      <c r="E269" s="0" t="s">
        <v>57</v>
      </c>
      <c r="F269" s="0" t="s">
        <v>37</v>
      </c>
      <c r="G269" s="16" t="n">
        <v>14.11</v>
      </c>
      <c r="H269" s="0" t="n">
        <v>6</v>
      </c>
      <c r="I269" s="16" t="n">
        <f aca="false">G269*H269*0.05</f>
        <v>4.233</v>
      </c>
      <c r="J269" s="16" t="n">
        <f aca="false">G269*H269*1.05</f>
        <v>88.893</v>
      </c>
      <c r="K269" s="17" t="n">
        <v>43490</v>
      </c>
      <c r="L269" s="14" t="s">
        <v>539</v>
      </c>
      <c r="M269" s="14" t="s">
        <v>30</v>
      </c>
      <c r="N269" s="16" t="n">
        <f aca="false">G269*H269</f>
        <v>84.66</v>
      </c>
      <c r="O269" s="18" t="n">
        <v>4.761904762</v>
      </c>
      <c r="P269" s="16" t="n">
        <f aca="false">I269</f>
        <v>4.233</v>
      </c>
      <c r="Q269" s="19" t="n">
        <v>8.3</v>
      </c>
      <c r="R269" s="0" t="str">
        <f aca="false">TEXT(K269,"mmm yyyy")</f>
        <v>Jan 2019</v>
      </c>
      <c r="S269" s="14" t="n">
        <f aca="false">HOUR(TIMEVALUE(L269))</f>
        <v>12</v>
      </c>
      <c r="T269" s="0" t="str">
        <f aca="false">IF(S269&lt;12,"Morning",IF(S269&lt;17,"Afternoon","Evening"))</f>
        <v>Afternoon</v>
      </c>
      <c r="U269" s="16" t="n">
        <f aca="false">G269*H269*0.05</f>
        <v>4.233</v>
      </c>
    </row>
    <row r="270" customFormat="false" ht="15" hidden="false" customHeight="false" outlineLevel="0" collapsed="false">
      <c r="A270" s="0" t="s">
        <v>540</v>
      </c>
      <c r="B270" s="0" t="s">
        <v>29</v>
      </c>
      <c r="C270" s="0" t="s">
        <v>56</v>
      </c>
      <c r="D270" s="0" t="s">
        <v>22</v>
      </c>
      <c r="E270" s="0" t="s">
        <v>60</v>
      </c>
      <c r="F270" s="0" t="s">
        <v>37</v>
      </c>
      <c r="G270" s="16" t="n">
        <v>38.46</v>
      </c>
      <c r="H270" s="0" t="n">
        <v>1</v>
      </c>
      <c r="I270" s="16" t="n">
        <f aca="false">G270*H270*0.05</f>
        <v>1.923</v>
      </c>
      <c r="J270" s="16" t="n">
        <f aca="false">G270*H270*1.05</f>
        <v>40.383</v>
      </c>
      <c r="K270" s="17" t="n">
        <v>43490</v>
      </c>
      <c r="L270" s="14" t="s">
        <v>541</v>
      </c>
      <c r="M270" s="14" t="s">
        <v>26</v>
      </c>
      <c r="N270" s="16" t="n">
        <f aca="false">G270*H270</f>
        <v>38.46</v>
      </c>
      <c r="O270" s="18" t="n">
        <v>4.761904762</v>
      </c>
      <c r="P270" s="16" t="n">
        <f aca="false">I270</f>
        <v>1.923</v>
      </c>
      <c r="Q270" s="19" t="n">
        <v>5.5</v>
      </c>
      <c r="R270" s="0" t="str">
        <f aca="false">TEXT(K270,"mmm yyyy")</f>
        <v>Jan 2019</v>
      </c>
      <c r="S270" s="14" t="n">
        <f aca="false">HOUR(TIMEVALUE(L270))</f>
        <v>14</v>
      </c>
      <c r="T270" s="0" t="str">
        <f aca="false">IF(S270&lt;12,"Morning",IF(S270&lt;17,"Afternoon","Evening"))</f>
        <v>Afternoon</v>
      </c>
      <c r="U270" s="16" t="n">
        <f aca="false">G270*H270*0.05</f>
        <v>1.923</v>
      </c>
    </row>
    <row r="271" customFormat="false" ht="15" hidden="false" customHeight="false" outlineLevel="0" collapsed="false">
      <c r="A271" s="0" t="s">
        <v>542</v>
      </c>
      <c r="B271" s="0" t="s">
        <v>33</v>
      </c>
      <c r="C271" s="0" t="s">
        <v>65</v>
      </c>
      <c r="D271" s="0" t="s">
        <v>22</v>
      </c>
      <c r="E271" s="0" t="s">
        <v>60</v>
      </c>
      <c r="F271" s="0" t="s">
        <v>27</v>
      </c>
      <c r="G271" s="16" t="n">
        <v>92.72</v>
      </c>
      <c r="H271" s="0" t="n">
        <v>2</v>
      </c>
      <c r="I271" s="16" t="n">
        <f aca="false">G271*H271*0.05</f>
        <v>9.272</v>
      </c>
      <c r="J271" s="16" t="n">
        <f aca="false">G271*H271*1.05</f>
        <v>194.712</v>
      </c>
      <c r="K271" s="17" t="n">
        <v>43490</v>
      </c>
      <c r="L271" s="14" t="s">
        <v>543</v>
      </c>
      <c r="M271" s="14" t="s">
        <v>34</v>
      </c>
      <c r="N271" s="16" t="n">
        <f aca="false">G271*H271</f>
        <v>185.44</v>
      </c>
      <c r="O271" s="18" t="n">
        <v>4.761904762</v>
      </c>
      <c r="P271" s="16" t="n">
        <f aca="false">I271</f>
        <v>9.272</v>
      </c>
      <c r="Q271" s="19" t="n">
        <v>4.8</v>
      </c>
      <c r="R271" s="0" t="str">
        <f aca="false">TEXT(K271,"mmm yyyy")</f>
        <v>Jan 2019</v>
      </c>
      <c r="S271" s="14" t="n">
        <f aca="false">HOUR(TIMEVALUE(L271))</f>
        <v>13</v>
      </c>
      <c r="T271" s="0" t="str">
        <f aca="false">IF(S271&lt;12,"Morning",IF(S271&lt;17,"Afternoon","Evening"))</f>
        <v>Afternoon</v>
      </c>
      <c r="U271" s="16" t="n">
        <f aca="false">G271*H271*0.05</f>
        <v>9.272</v>
      </c>
    </row>
    <row r="272" customFormat="false" ht="15" hidden="false" customHeight="false" outlineLevel="0" collapsed="false">
      <c r="A272" s="0" t="s">
        <v>544</v>
      </c>
      <c r="B272" s="0" t="s">
        <v>33</v>
      </c>
      <c r="C272" s="0" t="s">
        <v>65</v>
      </c>
      <c r="D272" s="0" t="s">
        <v>21</v>
      </c>
      <c r="E272" s="0" t="s">
        <v>60</v>
      </c>
      <c r="F272" s="0" t="s">
        <v>31</v>
      </c>
      <c r="G272" s="16" t="n">
        <v>90.38</v>
      </c>
      <c r="H272" s="0" t="n">
        <v>5</v>
      </c>
      <c r="I272" s="16" t="n">
        <f aca="false">G272*H272*0.05</f>
        <v>22.595</v>
      </c>
      <c r="J272" s="16" t="n">
        <f aca="false">G272*H272*1.05</f>
        <v>474.495</v>
      </c>
      <c r="K272" s="17" t="n">
        <v>43490</v>
      </c>
      <c r="L272" s="14" t="s">
        <v>545</v>
      </c>
      <c r="M272" s="14" t="s">
        <v>26</v>
      </c>
      <c r="N272" s="16" t="n">
        <f aca="false">G272*H272</f>
        <v>451.9</v>
      </c>
      <c r="O272" s="18" t="n">
        <v>4.761904762</v>
      </c>
      <c r="P272" s="16" t="n">
        <f aca="false">I272</f>
        <v>22.595</v>
      </c>
      <c r="Q272" s="19" t="n">
        <v>4.7</v>
      </c>
      <c r="R272" s="0" t="str">
        <f aca="false">TEXT(K272,"mmm yyyy")</f>
        <v>Jan 2019</v>
      </c>
      <c r="S272" s="14" t="n">
        <f aca="false">HOUR(TIMEVALUE(L272))</f>
        <v>10</v>
      </c>
      <c r="T272" s="0" t="str">
        <f aca="false">IF(S272&lt;12,"Morning",IF(S272&lt;17,"Afternoon","Evening"))</f>
        <v>Morning</v>
      </c>
      <c r="U272" s="16" t="n">
        <f aca="false">G272*H272*0.05</f>
        <v>22.595</v>
      </c>
    </row>
    <row r="273" customFormat="false" ht="15" hidden="false" customHeight="false" outlineLevel="0" collapsed="false">
      <c r="A273" s="0" t="s">
        <v>546</v>
      </c>
      <c r="B273" s="0" t="s">
        <v>29</v>
      </c>
      <c r="C273" s="0" t="s">
        <v>56</v>
      </c>
      <c r="D273" s="0" t="s">
        <v>21</v>
      </c>
      <c r="E273" s="0" t="s">
        <v>57</v>
      </c>
      <c r="F273" s="0" t="s">
        <v>37</v>
      </c>
      <c r="G273" s="16" t="n">
        <v>48.02</v>
      </c>
      <c r="H273" s="0" t="n">
        <v>10</v>
      </c>
      <c r="I273" s="16" t="n">
        <f aca="false">G273*H273*0.05</f>
        <v>24.01</v>
      </c>
      <c r="J273" s="16" t="n">
        <f aca="false">G273*H273*1.05</f>
        <v>504.21</v>
      </c>
      <c r="K273" s="17" t="n">
        <v>43490</v>
      </c>
      <c r="L273" s="14" t="s">
        <v>232</v>
      </c>
      <c r="M273" s="14" t="s">
        <v>26</v>
      </c>
      <c r="N273" s="16" t="n">
        <f aca="false">G273*H273</f>
        <v>480.2</v>
      </c>
      <c r="O273" s="18" t="n">
        <v>4.761904762</v>
      </c>
      <c r="P273" s="16" t="n">
        <f aca="false">I273</f>
        <v>24.01</v>
      </c>
      <c r="Q273" s="19" t="n">
        <v>5.9</v>
      </c>
      <c r="R273" s="0" t="str">
        <f aca="false">TEXT(K273,"mmm yyyy")</f>
        <v>Jan 2019</v>
      </c>
      <c r="S273" s="14" t="n">
        <f aca="false">HOUR(TIMEVALUE(L273))</f>
        <v>16</v>
      </c>
      <c r="T273" s="0" t="str">
        <f aca="false">IF(S273&lt;12,"Morning",IF(S273&lt;17,"Afternoon","Evening"))</f>
        <v>Afternoon</v>
      </c>
      <c r="U273" s="16" t="n">
        <f aca="false">G273*H273*0.05</f>
        <v>24.01</v>
      </c>
    </row>
    <row r="274" customFormat="false" ht="15" hidden="false" customHeight="false" outlineLevel="0" collapsed="false">
      <c r="A274" s="0" t="s">
        <v>547</v>
      </c>
      <c r="B274" s="0" t="s">
        <v>33</v>
      </c>
      <c r="C274" s="0" t="s">
        <v>65</v>
      </c>
      <c r="D274" s="0" t="s">
        <v>21</v>
      </c>
      <c r="E274" s="0" t="s">
        <v>60</v>
      </c>
      <c r="F274" s="0" t="s">
        <v>36</v>
      </c>
      <c r="G274" s="16" t="n">
        <v>70.47</v>
      </c>
      <c r="H274" s="0" t="n">
        <v>4</v>
      </c>
      <c r="I274" s="16" t="n">
        <f aca="false">G274*H274*0.05</f>
        <v>14.094</v>
      </c>
      <c r="J274" s="16" t="n">
        <f aca="false">G274*H274*1.05</f>
        <v>295.974</v>
      </c>
      <c r="K274" s="17" t="n">
        <v>43490</v>
      </c>
      <c r="L274" s="14" t="s">
        <v>548</v>
      </c>
      <c r="M274" s="14" t="s">
        <v>30</v>
      </c>
      <c r="N274" s="16" t="n">
        <f aca="false">G274*H274</f>
        <v>281.88</v>
      </c>
      <c r="O274" s="18" t="n">
        <v>4.761904762</v>
      </c>
      <c r="P274" s="16" t="n">
        <f aca="false">I274</f>
        <v>14.094</v>
      </c>
      <c r="Q274" s="19" t="n">
        <v>4.5</v>
      </c>
      <c r="R274" s="0" t="str">
        <f aca="false">TEXT(K274,"mmm yyyy")</f>
        <v>Jan 2019</v>
      </c>
      <c r="S274" s="14" t="n">
        <f aca="false">HOUR(TIMEVALUE(L274))</f>
        <v>11</v>
      </c>
      <c r="T274" s="0" t="str">
        <f aca="false">IF(S274&lt;12,"Morning",IF(S274&lt;17,"Afternoon","Evening"))</f>
        <v>Morning</v>
      </c>
      <c r="U274" s="16" t="n">
        <f aca="false">G274*H274*0.05</f>
        <v>14.094</v>
      </c>
    </row>
    <row r="275" customFormat="false" ht="15" hidden="false" customHeight="false" outlineLevel="0" collapsed="false">
      <c r="A275" s="0" t="s">
        <v>549</v>
      </c>
      <c r="B275" s="0" t="s">
        <v>29</v>
      </c>
      <c r="C275" s="0" t="s">
        <v>56</v>
      </c>
      <c r="D275" s="0" t="s">
        <v>21</v>
      </c>
      <c r="E275" s="0" t="s">
        <v>60</v>
      </c>
      <c r="F275" s="0" t="s">
        <v>35</v>
      </c>
      <c r="G275" s="16" t="n">
        <v>85.36</v>
      </c>
      <c r="H275" s="0" t="n">
        <v>8</v>
      </c>
      <c r="I275" s="16" t="n">
        <f aca="false">G275*H275*0.05</f>
        <v>34.144</v>
      </c>
      <c r="J275" s="16" t="n">
        <f aca="false">G275*H275*1.05</f>
        <v>717.024</v>
      </c>
      <c r="K275" s="17" t="n">
        <v>43490</v>
      </c>
      <c r="L275" s="14" t="s">
        <v>550</v>
      </c>
      <c r="M275" s="14" t="s">
        <v>26</v>
      </c>
      <c r="N275" s="16" t="n">
        <f aca="false">G275*H275</f>
        <v>682.88</v>
      </c>
      <c r="O275" s="18" t="n">
        <v>4.761904762</v>
      </c>
      <c r="P275" s="16" t="n">
        <f aca="false">I275</f>
        <v>34.144</v>
      </c>
      <c r="Q275" s="19" t="n">
        <v>6.6</v>
      </c>
      <c r="R275" s="0" t="str">
        <f aca="false">TEXT(K275,"mmm yyyy")</f>
        <v>Jan 2019</v>
      </c>
      <c r="S275" s="14" t="n">
        <f aca="false">HOUR(TIMEVALUE(L275))</f>
        <v>14</v>
      </c>
      <c r="T275" s="0" t="str">
        <f aca="false">IF(S275&lt;12,"Morning",IF(S275&lt;17,"Afternoon","Evening"))</f>
        <v>Afternoon</v>
      </c>
      <c r="U275" s="16" t="n">
        <f aca="false">G275*H275*0.05</f>
        <v>34.144</v>
      </c>
    </row>
    <row r="276" customFormat="false" ht="15" hidden="false" customHeight="false" outlineLevel="0" collapsed="false">
      <c r="A276" s="0" t="s">
        <v>551</v>
      </c>
      <c r="B276" s="0" t="s">
        <v>33</v>
      </c>
      <c r="C276" s="0" t="s">
        <v>65</v>
      </c>
      <c r="D276" s="0" t="s">
        <v>22</v>
      </c>
      <c r="E276" s="0" t="s">
        <v>57</v>
      </c>
      <c r="F276" s="0" t="s">
        <v>31</v>
      </c>
      <c r="G276" s="16" t="n">
        <v>22.9</v>
      </c>
      <c r="H276" s="0" t="n">
        <v>1</v>
      </c>
      <c r="I276" s="16" t="n">
        <f aca="false">G276*H276*0.05</f>
        <v>1.145</v>
      </c>
      <c r="J276" s="16" t="n">
        <f aca="false">G276*H276*1.05</f>
        <v>24.045</v>
      </c>
      <c r="K276" s="17" t="n">
        <v>43490</v>
      </c>
      <c r="L276" s="14" t="s">
        <v>552</v>
      </c>
      <c r="M276" s="14" t="s">
        <v>30</v>
      </c>
      <c r="N276" s="16" t="n">
        <f aca="false">G276*H276</f>
        <v>22.9</v>
      </c>
      <c r="O276" s="18" t="n">
        <v>4.761904762</v>
      </c>
      <c r="P276" s="16" t="n">
        <f aca="false">I276</f>
        <v>1.145</v>
      </c>
      <c r="Q276" s="19" t="n">
        <v>7.3</v>
      </c>
      <c r="R276" s="0" t="str">
        <f aca="false">TEXT(K276,"mmm yyyy")</f>
        <v>Jan 2019</v>
      </c>
      <c r="S276" s="14" t="n">
        <f aca="false">HOUR(TIMEVALUE(L276))</f>
        <v>20</v>
      </c>
      <c r="T276" s="0" t="str">
        <f aca="false">IF(S276&lt;12,"Morning",IF(S276&lt;17,"Afternoon","Evening"))</f>
        <v>Evening</v>
      </c>
      <c r="U276" s="16" t="n">
        <f aca="false">G276*H276*0.05</f>
        <v>1.145</v>
      </c>
    </row>
    <row r="277" customFormat="false" ht="15" hidden="false" customHeight="false" outlineLevel="0" collapsed="false">
      <c r="A277" s="0" t="s">
        <v>553</v>
      </c>
      <c r="B277" s="0" t="s">
        <v>33</v>
      </c>
      <c r="C277" s="0" t="s">
        <v>65</v>
      </c>
      <c r="D277" s="0" t="s">
        <v>21</v>
      </c>
      <c r="E277" s="0" t="s">
        <v>60</v>
      </c>
      <c r="F277" s="0" t="s">
        <v>37</v>
      </c>
      <c r="G277" s="16" t="n">
        <v>35.9</v>
      </c>
      <c r="H277" s="0" t="n">
        <v>3</v>
      </c>
      <c r="I277" s="16" t="n">
        <f aca="false">G277*H277*0.05</f>
        <v>5.385</v>
      </c>
      <c r="J277" s="16" t="n">
        <f aca="false">G277*H277*1.05</f>
        <v>113.085</v>
      </c>
      <c r="K277" s="17" t="n">
        <v>43491</v>
      </c>
      <c r="L277" s="14" t="s">
        <v>554</v>
      </c>
      <c r="M277" s="14" t="s">
        <v>30</v>
      </c>
      <c r="N277" s="16" t="n">
        <f aca="false">G277*H277</f>
        <v>107.7</v>
      </c>
      <c r="O277" s="18" t="n">
        <v>4.761904762</v>
      </c>
      <c r="P277" s="16" t="n">
        <f aca="false">I277</f>
        <v>5.385</v>
      </c>
      <c r="Q277" s="19" t="n">
        <v>5.4</v>
      </c>
      <c r="R277" s="0" t="str">
        <f aca="false">TEXT(K277,"mmm yyyy")</f>
        <v>Jan 2019</v>
      </c>
      <c r="S277" s="14" t="n">
        <f aca="false">HOUR(TIMEVALUE(L277))</f>
        <v>15</v>
      </c>
      <c r="T277" s="0" t="str">
        <f aca="false">IF(S277&lt;12,"Morning",IF(S277&lt;17,"Afternoon","Evening"))</f>
        <v>Afternoon</v>
      </c>
      <c r="U277" s="16" t="n">
        <f aca="false">G277*H277*0.05</f>
        <v>5.385</v>
      </c>
    </row>
    <row r="278" customFormat="false" ht="15" hidden="false" customHeight="false" outlineLevel="0" collapsed="false">
      <c r="A278" s="0" t="s">
        <v>555</v>
      </c>
      <c r="B278" s="0" t="s">
        <v>25</v>
      </c>
      <c r="C278" s="0" t="s">
        <v>68</v>
      </c>
      <c r="D278" s="0" t="s">
        <v>22</v>
      </c>
      <c r="E278" s="0" t="s">
        <v>57</v>
      </c>
      <c r="F278" s="0" t="s">
        <v>37</v>
      </c>
      <c r="G278" s="16" t="n">
        <v>57.11</v>
      </c>
      <c r="H278" s="0" t="n">
        <v>4</v>
      </c>
      <c r="I278" s="16" t="n">
        <f aca="false">G278*H278*0.05</f>
        <v>11.422</v>
      </c>
      <c r="J278" s="16" t="n">
        <f aca="false">G278*H278*1.05</f>
        <v>239.862</v>
      </c>
      <c r="K278" s="17" t="n">
        <v>43491</v>
      </c>
      <c r="L278" s="14" t="s">
        <v>556</v>
      </c>
      <c r="M278" s="14" t="s">
        <v>30</v>
      </c>
      <c r="N278" s="16" t="n">
        <f aca="false">G278*H278</f>
        <v>228.44</v>
      </c>
      <c r="O278" s="18" t="n">
        <v>4.761904762</v>
      </c>
      <c r="P278" s="16" t="n">
        <f aca="false">I278</f>
        <v>11.422</v>
      </c>
      <c r="Q278" s="19" t="n">
        <v>8.2</v>
      </c>
      <c r="R278" s="0" t="str">
        <f aca="false">TEXT(K278,"mmm yyyy")</f>
        <v>Jan 2019</v>
      </c>
      <c r="S278" s="14" t="n">
        <f aca="false">HOUR(TIMEVALUE(L278))</f>
        <v>17</v>
      </c>
      <c r="T278" s="0" t="str">
        <f aca="false">IF(S278&lt;12,"Morning",IF(S278&lt;17,"Afternoon","Evening"))</f>
        <v>Evening</v>
      </c>
      <c r="U278" s="16" t="n">
        <f aca="false">G278*H278*0.05</f>
        <v>11.422</v>
      </c>
    </row>
    <row r="279" customFormat="false" ht="15" hidden="false" customHeight="false" outlineLevel="0" collapsed="false">
      <c r="A279" s="0" t="s">
        <v>557</v>
      </c>
      <c r="B279" s="0" t="s">
        <v>25</v>
      </c>
      <c r="C279" s="0" t="s">
        <v>68</v>
      </c>
      <c r="D279" s="0" t="s">
        <v>22</v>
      </c>
      <c r="E279" s="0" t="s">
        <v>60</v>
      </c>
      <c r="F279" s="0" t="s">
        <v>27</v>
      </c>
      <c r="G279" s="16" t="n">
        <v>22.51</v>
      </c>
      <c r="H279" s="0" t="n">
        <v>9</v>
      </c>
      <c r="I279" s="16" t="n">
        <f aca="false">G279*H279*0.05</f>
        <v>10.1295</v>
      </c>
      <c r="J279" s="16" t="n">
        <f aca="false">G279*H279*1.05</f>
        <v>212.7195</v>
      </c>
      <c r="K279" s="17" t="n">
        <v>43491</v>
      </c>
      <c r="L279" s="14" t="s">
        <v>522</v>
      </c>
      <c r="M279" s="14" t="s">
        <v>34</v>
      </c>
      <c r="N279" s="16" t="n">
        <f aca="false">G279*H279</f>
        <v>202.59</v>
      </c>
      <c r="O279" s="18" t="n">
        <v>4.761904762</v>
      </c>
      <c r="P279" s="16" t="n">
        <f aca="false">I279</f>
        <v>10.1295</v>
      </c>
      <c r="Q279" s="19" t="n">
        <v>6.5</v>
      </c>
      <c r="R279" s="0" t="str">
        <f aca="false">TEXT(K279,"mmm yyyy")</f>
        <v>Jan 2019</v>
      </c>
      <c r="S279" s="14" t="n">
        <f aca="false">HOUR(TIMEVALUE(L279))</f>
        <v>20</v>
      </c>
      <c r="T279" s="0" t="str">
        <f aca="false">IF(S279&lt;12,"Morning",IF(S279&lt;17,"Afternoon","Evening"))</f>
        <v>Evening</v>
      </c>
      <c r="U279" s="16" t="n">
        <f aca="false">G279*H279*0.05</f>
        <v>10.1295</v>
      </c>
    </row>
    <row r="280" customFormat="false" ht="15" hidden="false" customHeight="false" outlineLevel="0" collapsed="false">
      <c r="A280" s="0" t="s">
        <v>558</v>
      </c>
      <c r="B280" s="0" t="s">
        <v>29</v>
      </c>
      <c r="C280" s="0" t="s">
        <v>56</v>
      </c>
      <c r="D280" s="0" t="s">
        <v>21</v>
      </c>
      <c r="E280" s="0" t="s">
        <v>60</v>
      </c>
      <c r="F280" s="0" t="s">
        <v>36</v>
      </c>
      <c r="G280" s="16" t="n">
        <v>70.03</v>
      </c>
      <c r="H280" s="0" t="n">
        <v>10</v>
      </c>
      <c r="I280" s="16" t="n">
        <f aca="false">G280*H280*0.05</f>
        <v>35.015</v>
      </c>
      <c r="J280" s="16" t="n">
        <f aca="false">G280*H280*1.05</f>
        <v>735.315</v>
      </c>
      <c r="K280" s="17" t="n">
        <v>43491</v>
      </c>
      <c r="L280" s="14" t="s">
        <v>446</v>
      </c>
      <c r="M280" s="14" t="s">
        <v>26</v>
      </c>
      <c r="N280" s="16" t="n">
        <f aca="false">G280*H280</f>
        <v>700.3</v>
      </c>
      <c r="O280" s="18" t="n">
        <v>4.761904762</v>
      </c>
      <c r="P280" s="16" t="n">
        <f aca="false">I280</f>
        <v>35.015</v>
      </c>
      <c r="Q280" s="19" t="n">
        <v>4.7</v>
      </c>
      <c r="R280" s="0" t="str">
        <f aca="false">TEXT(K280,"mmm yyyy")</f>
        <v>Jan 2019</v>
      </c>
      <c r="S280" s="14" t="n">
        <f aca="false">HOUR(TIMEVALUE(L280))</f>
        <v>20</v>
      </c>
      <c r="T280" s="0" t="str">
        <f aca="false">IF(S280&lt;12,"Morning",IF(S280&lt;17,"Afternoon","Evening"))</f>
        <v>Evening</v>
      </c>
      <c r="U280" s="16" t="n">
        <f aca="false">G280*H280*0.05</f>
        <v>35.015</v>
      </c>
    </row>
    <row r="281" customFormat="false" ht="15" hidden="false" customHeight="false" outlineLevel="0" collapsed="false">
      <c r="A281" s="0" t="s">
        <v>559</v>
      </c>
      <c r="B281" s="0" t="s">
        <v>25</v>
      </c>
      <c r="C281" s="0" t="s">
        <v>68</v>
      </c>
      <c r="D281" s="0" t="s">
        <v>21</v>
      </c>
      <c r="E281" s="0" t="s">
        <v>57</v>
      </c>
      <c r="F281" s="0" t="s">
        <v>31</v>
      </c>
      <c r="G281" s="16" t="n">
        <v>97.42</v>
      </c>
      <c r="H281" s="0" t="n">
        <v>7</v>
      </c>
      <c r="I281" s="16" t="n">
        <f aca="false">G281*H281*0.05</f>
        <v>34.097</v>
      </c>
      <c r="J281" s="16" t="n">
        <f aca="false">G281*H281*1.05</f>
        <v>716.037</v>
      </c>
      <c r="K281" s="17" t="n">
        <v>43491</v>
      </c>
      <c r="L281" s="14" t="s">
        <v>467</v>
      </c>
      <c r="M281" s="14" t="s">
        <v>26</v>
      </c>
      <c r="N281" s="16" t="n">
        <f aca="false">G281*H281</f>
        <v>681.94</v>
      </c>
      <c r="O281" s="18" t="n">
        <v>4.761904762</v>
      </c>
      <c r="P281" s="16" t="n">
        <f aca="false">I281</f>
        <v>34.097</v>
      </c>
      <c r="Q281" s="19" t="n">
        <v>4.1</v>
      </c>
      <c r="R281" s="0" t="str">
        <f aca="false">TEXT(K281,"mmm yyyy")</f>
        <v>Jan 2019</v>
      </c>
      <c r="S281" s="14" t="n">
        <f aca="false">HOUR(TIMEVALUE(L281))</f>
        <v>12</v>
      </c>
      <c r="T281" s="0" t="str">
        <f aca="false">IF(S281&lt;12,"Morning",IF(S281&lt;17,"Afternoon","Evening"))</f>
        <v>Afternoon</v>
      </c>
      <c r="U281" s="16" t="n">
        <f aca="false">G281*H281*0.05</f>
        <v>34.097</v>
      </c>
    </row>
    <row r="282" customFormat="false" ht="15" hidden="false" customHeight="false" outlineLevel="0" collapsed="false">
      <c r="A282" s="0" t="s">
        <v>560</v>
      </c>
      <c r="B282" s="0" t="s">
        <v>25</v>
      </c>
      <c r="C282" s="0" t="s">
        <v>68</v>
      </c>
      <c r="D282" s="0" t="s">
        <v>22</v>
      </c>
      <c r="E282" s="0" t="s">
        <v>60</v>
      </c>
      <c r="F282" s="0" t="s">
        <v>31</v>
      </c>
      <c r="G282" s="16" t="n">
        <v>15.78</v>
      </c>
      <c r="H282" s="0" t="n">
        <v>4</v>
      </c>
      <c r="I282" s="16" t="n">
        <f aca="false">G282*H282*0.05</f>
        <v>3.156</v>
      </c>
      <c r="J282" s="16" t="n">
        <f aca="false">G282*H282*1.05</f>
        <v>66.276</v>
      </c>
      <c r="K282" s="17" t="n">
        <v>43491</v>
      </c>
      <c r="L282" s="14" t="s">
        <v>561</v>
      </c>
      <c r="M282" s="14" t="s">
        <v>26</v>
      </c>
      <c r="N282" s="16" t="n">
        <f aca="false">G282*H282</f>
        <v>63.12</v>
      </c>
      <c r="O282" s="18" t="n">
        <v>4.761904762</v>
      </c>
      <c r="P282" s="16" t="n">
        <f aca="false">I282</f>
        <v>3.156</v>
      </c>
      <c r="Q282" s="19" t="n">
        <v>8.4</v>
      </c>
      <c r="R282" s="0" t="str">
        <f aca="false">TEXT(K282,"mmm yyyy")</f>
        <v>Jan 2019</v>
      </c>
      <c r="S282" s="14" t="n">
        <f aca="false">HOUR(TIMEVALUE(L282))</f>
        <v>18</v>
      </c>
      <c r="T282" s="0" t="str">
        <f aca="false">IF(S282&lt;12,"Morning",IF(S282&lt;17,"Afternoon","Evening"))</f>
        <v>Evening</v>
      </c>
      <c r="U282" s="16" t="n">
        <f aca="false">G282*H282*0.05</f>
        <v>3.156</v>
      </c>
    </row>
    <row r="283" customFormat="false" ht="15" hidden="false" customHeight="false" outlineLevel="0" collapsed="false">
      <c r="A283" s="0" t="s">
        <v>562</v>
      </c>
      <c r="B283" s="0" t="s">
        <v>25</v>
      </c>
      <c r="C283" s="0" t="s">
        <v>68</v>
      </c>
      <c r="D283" s="0" t="s">
        <v>21</v>
      </c>
      <c r="E283" s="0" t="s">
        <v>57</v>
      </c>
      <c r="F283" s="0" t="s">
        <v>36</v>
      </c>
      <c r="G283" s="16" t="n">
        <v>32.46</v>
      </c>
      <c r="H283" s="0" t="n">
        <v>4</v>
      </c>
      <c r="I283" s="16" t="n">
        <f aca="false">G283*H283*0.05</f>
        <v>6.492</v>
      </c>
      <c r="J283" s="16" t="n">
        <f aca="false">G283*H283*1.05</f>
        <v>136.332</v>
      </c>
      <c r="K283" s="17" t="n">
        <v>43491</v>
      </c>
      <c r="L283" s="14" t="s">
        <v>487</v>
      </c>
      <c r="M283" s="14" t="s">
        <v>26</v>
      </c>
      <c r="N283" s="16" t="n">
        <f aca="false">G283*H283</f>
        <v>129.84</v>
      </c>
      <c r="O283" s="18" t="n">
        <v>4.761904762</v>
      </c>
      <c r="P283" s="16" t="n">
        <f aca="false">I283</f>
        <v>6.492</v>
      </c>
      <c r="Q283" s="19" t="n">
        <v>8.2</v>
      </c>
      <c r="R283" s="0" t="str">
        <f aca="false">TEXT(K283,"mmm yyyy")</f>
        <v>Jan 2019</v>
      </c>
      <c r="S283" s="14" t="n">
        <f aca="false">HOUR(TIMEVALUE(L283))</f>
        <v>16</v>
      </c>
      <c r="T283" s="0" t="str">
        <f aca="false">IF(S283&lt;12,"Morning",IF(S283&lt;17,"Afternoon","Evening"))</f>
        <v>Afternoon</v>
      </c>
      <c r="U283" s="16" t="n">
        <f aca="false">G283*H283*0.05</f>
        <v>6.492</v>
      </c>
    </row>
    <row r="284" customFormat="false" ht="15" hidden="false" customHeight="false" outlineLevel="0" collapsed="false">
      <c r="A284" s="0" t="s">
        <v>563</v>
      </c>
      <c r="B284" s="0" t="s">
        <v>33</v>
      </c>
      <c r="C284" s="0" t="s">
        <v>65</v>
      </c>
      <c r="D284" s="0" t="s">
        <v>21</v>
      </c>
      <c r="E284" s="0" t="s">
        <v>60</v>
      </c>
      <c r="F284" s="0" t="s">
        <v>23</v>
      </c>
      <c r="G284" s="16" t="n">
        <v>95.56</v>
      </c>
      <c r="H284" s="0" t="n">
        <v>9</v>
      </c>
      <c r="I284" s="16" t="n">
        <f aca="false">G284*H284*0.05</f>
        <v>43.002</v>
      </c>
      <c r="J284" s="16" t="n">
        <f aca="false">G284*H284*1.05</f>
        <v>903.042</v>
      </c>
      <c r="K284" s="17" t="n">
        <v>43491</v>
      </c>
      <c r="L284" s="14" t="s">
        <v>564</v>
      </c>
      <c r="M284" s="14" t="s">
        <v>34</v>
      </c>
      <c r="N284" s="16" t="n">
        <f aca="false">G284*H284</f>
        <v>860.04</v>
      </c>
      <c r="O284" s="18" t="n">
        <v>4.761904762</v>
      </c>
      <c r="P284" s="16" t="n">
        <f aca="false">I284</f>
        <v>43.002</v>
      </c>
      <c r="Q284" s="19" t="n">
        <v>4.8</v>
      </c>
      <c r="R284" s="0" t="str">
        <f aca="false">TEXT(K284,"mmm yyyy")</f>
        <v>Jan 2019</v>
      </c>
      <c r="S284" s="14" t="n">
        <f aca="false">HOUR(TIMEVALUE(L284))</f>
        <v>20</v>
      </c>
      <c r="T284" s="0" t="str">
        <f aca="false">IF(S284&lt;12,"Morning",IF(S284&lt;17,"Afternoon","Evening"))</f>
        <v>Evening</v>
      </c>
      <c r="U284" s="16" t="n">
        <f aca="false">G284*H284*0.05</f>
        <v>43.002</v>
      </c>
    </row>
    <row r="285" customFormat="false" ht="15" hidden="false" customHeight="false" outlineLevel="0" collapsed="false">
      <c r="A285" s="0" t="s">
        <v>565</v>
      </c>
      <c r="B285" s="0" t="s">
        <v>25</v>
      </c>
      <c r="C285" s="0" t="s">
        <v>68</v>
      </c>
      <c r="D285" s="0" t="s">
        <v>21</v>
      </c>
      <c r="E285" s="0" t="s">
        <v>57</v>
      </c>
      <c r="F285" s="0" t="s">
        <v>27</v>
      </c>
      <c r="G285" s="16" t="n">
        <v>59.4</v>
      </c>
      <c r="H285" s="0" t="n">
        <v>6</v>
      </c>
      <c r="I285" s="16" t="n">
        <f aca="false">G285*H285*0.05</f>
        <v>17.82</v>
      </c>
      <c r="J285" s="16" t="n">
        <f aca="false">G285*H285*1.05</f>
        <v>374.22</v>
      </c>
      <c r="K285" s="17" t="n">
        <v>43491</v>
      </c>
      <c r="L285" s="14" t="s">
        <v>566</v>
      </c>
      <c r="M285" s="14" t="s">
        <v>30</v>
      </c>
      <c r="N285" s="16" t="n">
        <f aca="false">G285*H285</f>
        <v>356.4</v>
      </c>
      <c r="O285" s="18" t="n">
        <v>4.761904762</v>
      </c>
      <c r="P285" s="16" t="n">
        <f aca="false">I285</f>
        <v>17.82</v>
      </c>
      <c r="Q285" s="19" t="n">
        <v>8</v>
      </c>
      <c r="R285" s="0" t="str">
        <f aca="false">TEXT(K285,"mmm yyyy")</f>
        <v>Jan 2019</v>
      </c>
      <c r="S285" s="14" t="n">
        <f aca="false">HOUR(TIMEVALUE(L285))</f>
        <v>19</v>
      </c>
      <c r="T285" s="0" t="str">
        <f aca="false">IF(S285&lt;12,"Morning",IF(S285&lt;17,"Afternoon","Evening"))</f>
        <v>Evening</v>
      </c>
      <c r="U285" s="16" t="n">
        <f aca="false">G285*H285*0.05</f>
        <v>17.82</v>
      </c>
    </row>
    <row r="286" customFormat="false" ht="15" hidden="false" customHeight="false" outlineLevel="0" collapsed="false">
      <c r="A286" s="0" t="s">
        <v>567</v>
      </c>
      <c r="B286" s="0" t="s">
        <v>29</v>
      </c>
      <c r="C286" s="0" t="s">
        <v>56</v>
      </c>
      <c r="D286" s="0" t="s">
        <v>21</v>
      </c>
      <c r="E286" s="0" t="s">
        <v>60</v>
      </c>
      <c r="F286" s="0" t="s">
        <v>36</v>
      </c>
      <c r="G286" s="16" t="n">
        <v>99.95</v>
      </c>
      <c r="H286" s="0" t="n">
        <v>9</v>
      </c>
      <c r="I286" s="16" t="n">
        <f aca="false">G286*H286*0.05</f>
        <v>44.9775</v>
      </c>
      <c r="J286" s="16" t="n">
        <f aca="false">G286*H286*1.05</f>
        <v>944.5275</v>
      </c>
      <c r="K286" s="17" t="n">
        <v>43491</v>
      </c>
      <c r="L286" s="14" t="s">
        <v>73</v>
      </c>
      <c r="M286" s="14" t="s">
        <v>34</v>
      </c>
      <c r="N286" s="16" t="n">
        <f aca="false">G286*H286</f>
        <v>899.55</v>
      </c>
      <c r="O286" s="18" t="n">
        <v>4.761904762</v>
      </c>
      <c r="P286" s="16" t="n">
        <f aca="false">I286</f>
        <v>44.9775</v>
      </c>
      <c r="Q286" s="19" t="n">
        <v>6.3</v>
      </c>
      <c r="R286" s="0" t="str">
        <f aca="false">TEXT(K286,"mmm yyyy")</f>
        <v>Jan 2019</v>
      </c>
      <c r="S286" s="14" t="n">
        <f aca="false">HOUR(TIMEVALUE(L286))</f>
        <v>18</v>
      </c>
      <c r="T286" s="0" t="str">
        <f aca="false">IF(S286&lt;12,"Morning",IF(S286&lt;17,"Afternoon","Evening"))</f>
        <v>Evening</v>
      </c>
      <c r="U286" s="16" t="n">
        <f aca="false">G286*H286*0.05</f>
        <v>44.9775</v>
      </c>
    </row>
    <row r="287" customFormat="false" ht="15" hidden="false" customHeight="false" outlineLevel="0" collapsed="false">
      <c r="A287" s="0" t="s">
        <v>568</v>
      </c>
      <c r="B287" s="0" t="s">
        <v>33</v>
      </c>
      <c r="C287" s="0" t="s">
        <v>65</v>
      </c>
      <c r="D287" s="0" t="s">
        <v>21</v>
      </c>
      <c r="E287" s="0" t="s">
        <v>60</v>
      </c>
      <c r="F287" s="0" t="s">
        <v>23</v>
      </c>
      <c r="G287" s="16" t="n">
        <v>18.38</v>
      </c>
      <c r="H287" s="0" t="n">
        <v>6</v>
      </c>
      <c r="I287" s="16" t="n">
        <f aca="false">G287*H287*0.05</f>
        <v>5.514</v>
      </c>
      <c r="J287" s="16" t="n">
        <f aca="false">G287*H287*1.05</f>
        <v>115.794</v>
      </c>
      <c r="K287" s="17" t="n">
        <v>43491</v>
      </c>
      <c r="L287" s="14" t="s">
        <v>569</v>
      </c>
      <c r="M287" s="14" t="s">
        <v>34</v>
      </c>
      <c r="N287" s="16" t="n">
        <f aca="false">G287*H287</f>
        <v>110.28</v>
      </c>
      <c r="O287" s="18" t="n">
        <v>4.761904762</v>
      </c>
      <c r="P287" s="16" t="n">
        <f aca="false">I287</f>
        <v>5.514</v>
      </c>
      <c r="Q287" s="19" t="n">
        <v>7.8</v>
      </c>
      <c r="R287" s="0" t="str">
        <f aca="false">TEXT(K287,"mmm yyyy")</f>
        <v>Jan 2019</v>
      </c>
      <c r="S287" s="14" t="n">
        <f aca="false">HOUR(TIMEVALUE(L287))</f>
        <v>13</v>
      </c>
      <c r="T287" s="0" t="str">
        <f aca="false">IF(S287&lt;12,"Morning",IF(S287&lt;17,"Afternoon","Evening"))</f>
        <v>Afternoon</v>
      </c>
      <c r="U287" s="16" t="n">
        <f aca="false">G287*H287*0.05</f>
        <v>5.514</v>
      </c>
    </row>
    <row r="288" customFormat="false" ht="15" hidden="false" customHeight="false" outlineLevel="0" collapsed="false">
      <c r="A288" s="0" t="s">
        <v>570</v>
      </c>
      <c r="B288" s="0" t="s">
        <v>29</v>
      </c>
      <c r="C288" s="0" t="s">
        <v>56</v>
      </c>
      <c r="D288" s="0" t="s">
        <v>21</v>
      </c>
      <c r="E288" s="0" t="s">
        <v>60</v>
      </c>
      <c r="F288" s="0" t="s">
        <v>35</v>
      </c>
      <c r="G288" s="16" t="n">
        <v>36.89</v>
      </c>
      <c r="H288" s="0" t="n">
        <v>7</v>
      </c>
      <c r="I288" s="16" t="n">
        <f aca="false">G288*H288*0.05</f>
        <v>12.9115</v>
      </c>
      <c r="J288" s="16" t="n">
        <f aca="false">G288*H288*1.05</f>
        <v>271.1415</v>
      </c>
      <c r="K288" s="17" t="n">
        <v>43491</v>
      </c>
      <c r="L288" s="14" t="s">
        <v>571</v>
      </c>
      <c r="M288" s="14" t="s">
        <v>26</v>
      </c>
      <c r="N288" s="16" t="n">
        <f aca="false">G288*H288</f>
        <v>258.23</v>
      </c>
      <c r="O288" s="18" t="n">
        <v>4.761904762</v>
      </c>
      <c r="P288" s="16" t="n">
        <f aca="false">I288</f>
        <v>12.9115</v>
      </c>
      <c r="Q288" s="19" t="n">
        <v>6.9</v>
      </c>
      <c r="R288" s="0" t="str">
        <f aca="false">TEXT(K288,"mmm yyyy")</f>
        <v>Jan 2019</v>
      </c>
      <c r="S288" s="14" t="n">
        <f aca="false">HOUR(TIMEVALUE(L288))</f>
        <v>10</v>
      </c>
      <c r="T288" s="0" t="str">
        <f aca="false">IF(S288&lt;12,"Morning",IF(S288&lt;17,"Afternoon","Evening"))</f>
        <v>Morning</v>
      </c>
      <c r="U288" s="16" t="n">
        <f aca="false">G288*H288*0.05</f>
        <v>12.9115</v>
      </c>
    </row>
    <row r="289" customFormat="false" ht="15" hidden="false" customHeight="false" outlineLevel="0" collapsed="false">
      <c r="A289" s="0" t="s">
        <v>572</v>
      </c>
      <c r="B289" s="0" t="s">
        <v>29</v>
      </c>
      <c r="C289" s="0" t="s">
        <v>56</v>
      </c>
      <c r="D289" s="0" t="s">
        <v>21</v>
      </c>
      <c r="E289" s="0" t="s">
        <v>57</v>
      </c>
      <c r="F289" s="0" t="s">
        <v>27</v>
      </c>
      <c r="G289" s="16" t="n">
        <v>18.99</v>
      </c>
      <c r="H289" s="0" t="n">
        <v>6</v>
      </c>
      <c r="I289" s="16" t="n">
        <f aca="false">G289*H289*0.05</f>
        <v>5.697</v>
      </c>
      <c r="J289" s="16" t="n">
        <f aca="false">G289*H289*1.05</f>
        <v>119.637</v>
      </c>
      <c r="K289" s="17" t="n">
        <v>43492</v>
      </c>
      <c r="L289" s="14" t="s">
        <v>573</v>
      </c>
      <c r="M289" s="14" t="s">
        <v>30</v>
      </c>
      <c r="N289" s="16" t="n">
        <f aca="false">G289*H289</f>
        <v>113.94</v>
      </c>
      <c r="O289" s="18" t="n">
        <v>4.761904762</v>
      </c>
      <c r="P289" s="16" t="n">
        <f aca="false">I289</f>
        <v>5.697</v>
      </c>
      <c r="Q289" s="19" t="n">
        <v>8.8</v>
      </c>
      <c r="R289" s="0" t="str">
        <f aca="false">TEXT(K289,"mmm yyyy")</f>
        <v>Jan 2019</v>
      </c>
      <c r="S289" s="14" t="n">
        <f aca="false">HOUR(TIMEVALUE(L289))</f>
        <v>18</v>
      </c>
      <c r="T289" s="0" t="str">
        <f aca="false">IF(S289&lt;12,"Morning",IF(S289&lt;17,"Afternoon","Evening"))</f>
        <v>Evening</v>
      </c>
      <c r="U289" s="16" t="n">
        <f aca="false">G289*H289*0.05</f>
        <v>5.697</v>
      </c>
    </row>
    <row r="290" customFormat="false" ht="15" hidden="false" customHeight="false" outlineLevel="0" collapsed="false">
      <c r="A290" s="0" t="s">
        <v>574</v>
      </c>
      <c r="B290" s="0" t="s">
        <v>29</v>
      </c>
      <c r="C290" s="0" t="s">
        <v>56</v>
      </c>
      <c r="D290" s="0" t="s">
        <v>21</v>
      </c>
      <c r="E290" s="0" t="s">
        <v>57</v>
      </c>
      <c r="F290" s="0" t="s">
        <v>37</v>
      </c>
      <c r="G290" s="16" t="n">
        <v>23.43</v>
      </c>
      <c r="H290" s="0" t="n">
        <v>2</v>
      </c>
      <c r="I290" s="16" t="n">
        <f aca="false">G290*H290*0.05</f>
        <v>2.343</v>
      </c>
      <c r="J290" s="16" t="n">
        <f aca="false">G290*H290*1.05</f>
        <v>49.203</v>
      </c>
      <c r="K290" s="17" t="n">
        <v>43492</v>
      </c>
      <c r="L290" s="14" t="s">
        <v>575</v>
      </c>
      <c r="M290" s="14" t="s">
        <v>34</v>
      </c>
      <c r="N290" s="16" t="n">
        <f aca="false">G290*H290</f>
        <v>46.86</v>
      </c>
      <c r="O290" s="18" t="n">
        <v>4.761904762</v>
      </c>
      <c r="P290" s="16" t="n">
        <f aca="false">I290</f>
        <v>2.343</v>
      </c>
      <c r="Q290" s="19" t="n">
        <v>8.6</v>
      </c>
      <c r="R290" s="0" t="str">
        <f aca="false">TEXT(K290,"mmm yyyy")</f>
        <v>Jan 2019</v>
      </c>
      <c r="S290" s="14" t="n">
        <f aca="false">HOUR(TIMEVALUE(L290))</f>
        <v>11</v>
      </c>
      <c r="T290" s="0" t="str">
        <f aca="false">IF(S290&lt;12,"Morning",IF(S290&lt;17,"Afternoon","Evening"))</f>
        <v>Morning</v>
      </c>
      <c r="U290" s="16" t="n">
        <f aca="false">G290*H290*0.05</f>
        <v>2.343</v>
      </c>
    </row>
    <row r="291" customFormat="false" ht="15" hidden="false" customHeight="false" outlineLevel="0" collapsed="false">
      <c r="A291" s="0" t="s">
        <v>576</v>
      </c>
      <c r="B291" s="0" t="s">
        <v>29</v>
      </c>
      <c r="C291" s="0" t="s">
        <v>56</v>
      </c>
      <c r="D291" s="0" t="s">
        <v>21</v>
      </c>
      <c r="E291" s="0" t="s">
        <v>60</v>
      </c>
      <c r="F291" s="0" t="s">
        <v>35</v>
      </c>
      <c r="G291" s="16" t="n">
        <v>74.45</v>
      </c>
      <c r="H291" s="0" t="n">
        <v>8</v>
      </c>
      <c r="I291" s="16" t="n">
        <f aca="false">G291*H291*0.05</f>
        <v>29.78</v>
      </c>
      <c r="J291" s="16" t="n">
        <f aca="false">G291*H291*1.05</f>
        <v>625.38</v>
      </c>
      <c r="K291" s="17" t="n">
        <v>43492</v>
      </c>
      <c r="L291" s="14" t="s">
        <v>577</v>
      </c>
      <c r="M291" s="14" t="s">
        <v>30</v>
      </c>
      <c r="N291" s="16" t="n">
        <f aca="false">G291*H291</f>
        <v>595.6</v>
      </c>
      <c r="O291" s="18" t="n">
        <v>4.761904762</v>
      </c>
      <c r="P291" s="16" t="n">
        <f aca="false">I291</f>
        <v>29.78</v>
      </c>
      <c r="Q291" s="19" t="n">
        <v>5.5</v>
      </c>
      <c r="R291" s="0" t="str">
        <f aca="false">TEXT(K291,"mmm yyyy")</f>
        <v>Jan 2019</v>
      </c>
      <c r="S291" s="14" t="n">
        <f aca="false">HOUR(TIMEVALUE(L291))</f>
        <v>15</v>
      </c>
      <c r="T291" s="0" t="str">
        <f aca="false">IF(S291&lt;12,"Morning",IF(S291&lt;17,"Afternoon","Evening"))</f>
        <v>Afternoon</v>
      </c>
      <c r="U291" s="16" t="n">
        <f aca="false">G291*H291*0.05</f>
        <v>29.78</v>
      </c>
    </row>
    <row r="292" customFormat="false" ht="15" hidden="false" customHeight="false" outlineLevel="0" collapsed="false">
      <c r="A292" s="0" t="s">
        <v>578</v>
      </c>
      <c r="B292" s="0" t="s">
        <v>33</v>
      </c>
      <c r="C292" s="0" t="s">
        <v>65</v>
      </c>
      <c r="D292" s="0" t="s">
        <v>22</v>
      </c>
      <c r="E292" s="0" t="s">
        <v>57</v>
      </c>
      <c r="F292" s="0" t="s">
        <v>31</v>
      </c>
      <c r="G292" s="16" t="n">
        <v>12.42</v>
      </c>
      <c r="H292" s="0" t="n">
        <v>6</v>
      </c>
      <c r="I292" s="16" t="n">
        <f aca="false">G292*H292*0.05</f>
        <v>3.726</v>
      </c>
      <c r="J292" s="16" t="n">
        <f aca="false">G292*H292*1.05</f>
        <v>78.246</v>
      </c>
      <c r="K292" s="17" t="n">
        <v>43492</v>
      </c>
      <c r="L292" s="14" t="s">
        <v>579</v>
      </c>
      <c r="M292" s="14" t="s">
        <v>34</v>
      </c>
      <c r="N292" s="16" t="n">
        <f aca="false">G292*H292</f>
        <v>74.52</v>
      </c>
      <c r="O292" s="18" t="n">
        <v>4.761904762</v>
      </c>
      <c r="P292" s="16" t="n">
        <f aca="false">I292</f>
        <v>3.726</v>
      </c>
      <c r="Q292" s="19" t="n">
        <v>4.4</v>
      </c>
      <c r="R292" s="0" t="str">
        <f aca="false">TEXT(K292,"mmm yyyy")</f>
        <v>Jan 2019</v>
      </c>
      <c r="S292" s="14" t="n">
        <f aca="false">HOUR(TIMEVALUE(L292))</f>
        <v>10</v>
      </c>
      <c r="T292" s="0" t="str">
        <f aca="false">IF(S292&lt;12,"Morning",IF(S292&lt;17,"Afternoon","Evening"))</f>
        <v>Morning</v>
      </c>
      <c r="U292" s="16" t="n">
        <f aca="false">G292*H292*0.05</f>
        <v>3.726</v>
      </c>
    </row>
    <row r="293" customFormat="false" ht="15" hidden="false" customHeight="false" outlineLevel="0" collapsed="false">
      <c r="A293" s="0" t="s">
        <v>580</v>
      </c>
      <c r="B293" s="0" t="s">
        <v>25</v>
      </c>
      <c r="C293" s="0" t="s">
        <v>68</v>
      </c>
      <c r="D293" s="0" t="s">
        <v>21</v>
      </c>
      <c r="E293" s="0" t="s">
        <v>57</v>
      </c>
      <c r="F293" s="0" t="s">
        <v>23</v>
      </c>
      <c r="G293" s="16" t="n">
        <v>74.34</v>
      </c>
      <c r="H293" s="0" t="n">
        <v>7</v>
      </c>
      <c r="I293" s="16" t="n">
        <f aca="false">G293*H293*0.05</f>
        <v>26.019</v>
      </c>
      <c r="J293" s="16" t="n">
        <f aca="false">G293*H293*1.05</f>
        <v>546.399</v>
      </c>
      <c r="K293" s="17" t="n">
        <v>43492</v>
      </c>
      <c r="L293" s="14" t="s">
        <v>581</v>
      </c>
      <c r="M293" s="14" t="s">
        <v>34</v>
      </c>
      <c r="N293" s="16" t="n">
        <f aca="false">G293*H293</f>
        <v>520.38</v>
      </c>
      <c r="O293" s="18" t="n">
        <v>4.761904762</v>
      </c>
      <c r="P293" s="16" t="n">
        <f aca="false">I293</f>
        <v>26.019</v>
      </c>
      <c r="Q293" s="19" t="n">
        <v>9.1</v>
      </c>
      <c r="R293" s="0" t="str">
        <f aca="false">TEXT(K293,"mmm yyyy")</f>
        <v>Jan 2019</v>
      </c>
      <c r="S293" s="14" t="n">
        <f aca="false">HOUR(TIMEVALUE(L293))</f>
        <v>11</v>
      </c>
      <c r="T293" s="0" t="str">
        <f aca="false">IF(S293&lt;12,"Morning",IF(S293&lt;17,"Afternoon","Evening"))</f>
        <v>Morning</v>
      </c>
      <c r="U293" s="16" t="n">
        <f aca="false">G293*H293*0.05</f>
        <v>26.019</v>
      </c>
    </row>
    <row r="294" customFormat="false" ht="15" hidden="false" customHeight="false" outlineLevel="0" collapsed="false">
      <c r="A294" s="0" t="s">
        <v>582</v>
      </c>
      <c r="B294" s="0" t="s">
        <v>33</v>
      </c>
      <c r="C294" s="0" t="s">
        <v>65</v>
      </c>
      <c r="D294" s="0" t="s">
        <v>21</v>
      </c>
      <c r="E294" s="0" t="s">
        <v>60</v>
      </c>
      <c r="F294" s="0" t="s">
        <v>37</v>
      </c>
      <c r="G294" s="16" t="n">
        <v>67.53</v>
      </c>
      <c r="H294" s="0" t="n">
        <v>8</v>
      </c>
      <c r="I294" s="16" t="n">
        <f aca="false">G294*H294*0.05</f>
        <v>27.012</v>
      </c>
      <c r="J294" s="16" t="n">
        <f aca="false">G294*H294*1.05</f>
        <v>567.252</v>
      </c>
      <c r="K294" s="17" t="n">
        <v>43492</v>
      </c>
      <c r="L294" s="14" t="s">
        <v>583</v>
      </c>
      <c r="M294" s="14" t="s">
        <v>30</v>
      </c>
      <c r="N294" s="16" t="n">
        <f aca="false">G294*H294</f>
        <v>540.24</v>
      </c>
      <c r="O294" s="18" t="n">
        <v>4.761904762</v>
      </c>
      <c r="P294" s="16" t="n">
        <f aca="false">I294</f>
        <v>27.012</v>
      </c>
      <c r="Q294" s="19" t="n">
        <v>6.7</v>
      </c>
      <c r="R294" s="0" t="str">
        <f aca="false">TEXT(K294,"mmm yyyy")</f>
        <v>Jan 2019</v>
      </c>
      <c r="S294" s="14" t="n">
        <f aca="false">HOUR(TIMEVALUE(L294))</f>
        <v>19</v>
      </c>
      <c r="T294" s="0" t="str">
        <f aca="false">IF(S294&lt;12,"Morning",IF(S294&lt;17,"Afternoon","Evening"))</f>
        <v>Evening</v>
      </c>
      <c r="U294" s="16" t="n">
        <f aca="false">G294*H294*0.05</f>
        <v>27.012</v>
      </c>
    </row>
    <row r="295" customFormat="false" ht="15" hidden="false" customHeight="false" outlineLevel="0" collapsed="false">
      <c r="A295" s="0" t="s">
        <v>584</v>
      </c>
      <c r="B295" s="0" t="s">
        <v>25</v>
      </c>
      <c r="C295" s="0" t="s">
        <v>68</v>
      </c>
      <c r="D295" s="0" t="s">
        <v>22</v>
      </c>
      <c r="E295" s="0" t="s">
        <v>57</v>
      </c>
      <c r="F295" s="0" t="s">
        <v>31</v>
      </c>
      <c r="G295" s="16" t="n">
        <v>62.7</v>
      </c>
      <c r="H295" s="0" t="n">
        <v>2</v>
      </c>
      <c r="I295" s="16" t="n">
        <f aca="false">G295*H295*0.05</f>
        <v>6.27</v>
      </c>
      <c r="J295" s="16" t="n">
        <f aca="false">G295*H295*1.05</f>
        <v>131.67</v>
      </c>
      <c r="K295" s="17" t="n">
        <v>43492</v>
      </c>
      <c r="L295" s="14" t="s">
        <v>190</v>
      </c>
      <c r="M295" s="14" t="s">
        <v>30</v>
      </c>
      <c r="N295" s="16" t="n">
        <f aca="false">G295*H295</f>
        <v>125.4</v>
      </c>
      <c r="O295" s="18" t="n">
        <v>4.761904762</v>
      </c>
      <c r="P295" s="16" t="n">
        <f aca="false">I295</f>
        <v>6.27</v>
      </c>
      <c r="Q295" s="19" t="n">
        <v>9.3</v>
      </c>
      <c r="R295" s="0" t="str">
        <f aca="false">TEXT(K295,"mmm yyyy")</f>
        <v>Jan 2019</v>
      </c>
      <c r="S295" s="14" t="n">
        <f aca="false">HOUR(TIMEVALUE(L295))</f>
        <v>12</v>
      </c>
      <c r="T295" s="0" t="str">
        <f aca="false">IF(S295&lt;12,"Morning",IF(S295&lt;17,"Afternoon","Evening"))</f>
        <v>Afternoon</v>
      </c>
      <c r="U295" s="16" t="n">
        <f aca="false">G295*H295*0.05</f>
        <v>6.27</v>
      </c>
    </row>
    <row r="296" customFormat="false" ht="15" hidden="false" customHeight="false" outlineLevel="0" collapsed="false">
      <c r="A296" s="0" t="s">
        <v>585</v>
      </c>
      <c r="B296" s="0" t="s">
        <v>29</v>
      </c>
      <c r="C296" s="0" t="s">
        <v>56</v>
      </c>
      <c r="D296" s="0" t="s">
        <v>22</v>
      </c>
      <c r="E296" s="0" t="s">
        <v>60</v>
      </c>
      <c r="F296" s="0" t="s">
        <v>23</v>
      </c>
      <c r="G296" s="16" t="n">
        <v>10.07</v>
      </c>
      <c r="H296" s="0" t="n">
        <v>4</v>
      </c>
      <c r="I296" s="16" t="n">
        <f aca="false">G296*H296*0.05</f>
        <v>2.014</v>
      </c>
      <c r="J296" s="16" t="n">
        <f aca="false">G296*H296*1.05</f>
        <v>42.294</v>
      </c>
      <c r="K296" s="17" t="n">
        <v>43492</v>
      </c>
      <c r="L296" s="14" t="s">
        <v>586</v>
      </c>
      <c r="M296" s="14" t="s">
        <v>34</v>
      </c>
      <c r="N296" s="16" t="n">
        <f aca="false">G296*H296</f>
        <v>40.28</v>
      </c>
      <c r="O296" s="18" t="n">
        <v>4.761904762</v>
      </c>
      <c r="P296" s="16" t="n">
        <f aca="false">I296</f>
        <v>2.014</v>
      </c>
      <c r="Q296" s="19" t="n">
        <v>8</v>
      </c>
      <c r="R296" s="0" t="str">
        <f aca="false">TEXT(K296,"mmm yyyy")</f>
        <v>Jan 2019</v>
      </c>
      <c r="S296" s="14" t="n">
        <f aca="false">HOUR(TIMEVALUE(L296))</f>
        <v>20</v>
      </c>
      <c r="T296" s="0" t="str">
        <f aca="false">IF(S296&lt;12,"Morning",IF(S296&lt;17,"Afternoon","Evening"))</f>
        <v>Evening</v>
      </c>
      <c r="U296" s="16" t="n">
        <f aca="false">G296*H296*0.05</f>
        <v>2.014</v>
      </c>
    </row>
    <row r="297" customFormat="false" ht="15" hidden="false" customHeight="false" outlineLevel="0" collapsed="false">
      <c r="A297" s="0" t="s">
        <v>587</v>
      </c>
      <c r="B297" s="0" t="s">
        <v>29</v>
      </c>
      <c r="C297" s="0" t="s">
        <v>56</v>
      </c>
      <c r="D297" s="0" t="s">
        <v>22</v>
      </c>
      <c r="E297" s="0" t="s">
        <v>60</v>
      </c>
      <c r="F297" s="0" t="s">
        <v>35</v>
      </c>
      <c r="G297" s="16" t="n">
        <v>11.84</v>
      </c>
      <c r="H297" s="0" t="n">
        <v>10</v>
      </c>
      <c r="I297" s="16" t="n">
        <f aca="false">G297*H297*0.05</f>
        <v>5.92</v>
      </c>
      <c r="J297" s="16" t="n">
        <f aca="false">G297*H297*1.05</f>
        <v>124.32</v>
      </c>
      <c r="K297" s="17" t="n">
        <v>43492</v>
      </c>
      <c r="L297" s="14" t="s">
        <v>164</v>
      </c>
      <c r="M297" s="14" t="s">
        <v>30</v>
      </c>
      <c r="N297" s="16" t="n">
        <f aca="false">G297*H297</f>
        <v>118.4</v>
      </c>
      <c r="O297" s="18" t="n">
        <v>4.761904762</v>
      </c>
      <c r="P297" s="16" t="n">
        <f aca="false">I297</f>
        <v>5.92</v>
      </c>
      <c r="Q297" s="19" t="n">
        <v>6.2</v>
      </c>
      <c r="R297" s="0" t="str">
        <f aca="false">TEXT(K297,"mmm yyyy")</f>
        <v>Jan 2019</v>
      </c>
      <c r="S297" s="14" t="n">
        <f aca="false">HOUR(TIMEVALUE(L297))</f>
        <v>14</v>
      </c>
      <c r="T297" s="0" t="str">
        <f aca="false">IF(S297&lt;12,"Morning",IF(S297&lt;17,"Afternoon","Evening"))</f>
        <v>Afternoon</v>
      </c>
      <c r="U297" s="16" t="n">
        <f aca="false">G297*H297*0.05</f>
        <v>5.92</v>
      </c>
    </row>
    <row r="298" customFormat="false" ht="15" hidden="false" customHeight="false" outlineLevel="0" collapsed="false">
      <c r="A298" s="0" t="s">
        <v>588</v>
      </c>
      <c r="B298" s="0" t="s">
        <v>29</v>
      </c>
      <c r="C298" s="0" t="s">
        <v>56</v>
      </c>
      <c r="D298" s="0" t="s">
        <v>22</v>
      </c>
      <c r="E298" s="0" t="s">
        <v>60</v>
      </c>
      <c r="F298" s="0" t="s">
        <v>35</v>
      </c>
      <c r="G298" s="16" t="n">
        <v>78.4</v>
      </c>
      <c r="H298" s="0" t="n">
        <v>8</v>
      </c>
      <c r="I298" s="16" t="n">
        <f aca="false">G298*H298*0.05</f>
        <v>31.36</v>
      </c>
      <c r="J298" s="16" t="n">
        <f aca="false">G298*H298*1.05</f>
        <v>658.56</v>
      </c>
      <c r="K298" s="17" t="n">
        <v>43493</v>
      </c>
      <c r="L298" s="14" t="s">
        <v>498</v>
      </c>
      <c r="M298" s="14" t="s">
        <v>30</v>
      </c>
      <c r="N298" s="16" t="n">
        <f aca="false">G298*H298</f>
        <v>627.2</v>
      </c>
      <c r="O298" s="18" t="n">
        <v>4.761904762</v>
      </c>
      <c r="P298" s="16" t="n">
        <f aca="false">I298</f>
        <v>31.36</v>
      </c>
      <c r="Q298" s="19" t="n">
        <v>4.9</v>
      </c>
      <c r="R298" s="0" t="str">
        <f aca="false">TEXT(K298,"mmm yyyy")</f>
        <v>Jan 2019</v>
      </c>
      <c r="S298" s="14" t="n">
        <f aca="false">HOUR(TIMEVALUE(L298))</f>
        <v>10</v>
      </c>
      <c r="T298" s="0" t="str">
        <f aca="false">IF(S298&lt;12,"Morning",IF(S298&lt;17,"Afternoon","Evening"))</f>
        <v>Morning</v>
      </c>
      <c r="U298" s="16" t="n">
        <f aca="false">G298*H298*0.05</f>
        <v>31.36</v>
      </c>
    </row>
    <row r="299" customFormat="false" ht="15" hidden="false" customHeight="false" outlineLevel="0" collapsed="false">
      <c r="A299" s="0" t="s">
        <v>589</v>
      </c>
      <c r="B299" s="0" t="s">
        <v>29</v>
      </c>
      <c r="C299" s="0" t="s">
        <v>56</v>
      </c>
      <c r="D299" s="0" t="s">
        <v>22</v>
      </c>
      <c r="E299" s="0" t="s">
        <v>57</v>
      </c>
      <c r="F299" s="0" t="s">
        <v>31</v>
      </c>
      <c r="G299" s="16" t="n">
        <v>81.37</v>
      </c>
      <c r="H299" s="0" t="n">
        <v>6</v>
      </c>
      <c r="I299" s="16" t="n">
        <f aca="false">G299*H299*0.05</f>
        <v>24.411</v>
      </c>
      <c r="J299" s="16" t="n">
        <f aca="false">G299*H299*1.05</f>
        <v>512.631</v>
      </c>
      <c r="K299" s="17" t="n">
        <v>43493</v>
      </c>
      <c r="L299" s="14" t="s">
        <v>590</v>
      </c>
      <c r="M299" s="14" t="s">
        <v>34</v>
      </c>
      <c r="N299" s="16" t="n">
        <f aca="false">G299*H299</f>
        <v>488.22</v>
      </c>
      <c r="O299" s="18" t="n">
        <v>4.761904762</v>
      </c>
      <c r="P299" s="16" t="n">
        <f aca="false">I299</f>
        <v>24.411</v>
      </c>
      <c r="Q299" s="19" t="n">
        <v>7.4</v>
      </c>
      <c r="R299" s="0" t="str">
        <f aca="false">TEXT(K299,"mmm yyyy")</f>
        <v>Jan 2019</v>
      </c>
      <c r="S299" s="14" t="n">
        <f aca="false">HOUR(TIMEVALUE(L299))</f>
        <v>12</v>
      </c>
      <c r="T299" s="0" t="str">
        <f aca="false">IF(S299&lt;12,"Morning",IF(S299&lt;17,"Afternoon","Evening"))</f>
        <v>Afternoon</v>
      </c>
      <c r="U299" s="16" t="n">
        <f aca="false">G299*H299*0.05</f>
        <v>24.411</v>
      </c>
    </row>
    <row r="300" customFormat="false" ht="15" hidden="false" customHeight="false" outlineLevel="0" collapsed="false">
      <c r="A300" s="0" t="s">
        <v>591</v>
      </c>
      <c r="B300" s="0" t="s">
        <v>25</v>
      </c>
      <c r="C300" s="0" t="s">
        <v>68</v>
      </c>
      <c r="D300" s="0" t="s">
        <v>21</v>
      </c>
      <c r="E300" s="0" t="s">
        <v>60</v>
      </c>
      <c r="F300" s="0" t="s">
        <v>23</v>
      </c>
      <c r="G300" s="16" t="n">
        <v>49.77</v>
      </c>
      <c r="H300" s="0" t="n">
        <v>1</v>
      </c>
      <c r="I300" s="16" t="n">
        <f aca="false">G300*H300*0.05</f>
        <v>2.4885</v>
      </c>
      <c r="J300" s="16" t="n">
        <f aca="false">G300*H300*1.05</f>
        <v>52.2585</v>
      </c>
      <c r="K300" s="17" t="n">
        <v>43493</v>
      </c>
      <c r="L300" s="14" t="s">
        <v>355</v>
      </c>
      <c r="M300" s="14" t="s">
        <v>26</v>
      </c>
      <c r="N300" s="16" t="n">
        <f aca="false">G300*H300</f>
        <v>49.77</v>
      </c>
      <c r="O300" s="18" t="n">
        <v>4.761904762</v>
      </c>
      <c r="P300" s="16" t="n">
        <f aca="false">I300</f>
        <v>2.4885</v>
      </c>
      <c r="Q300" s="19" t="n">
        <v>6.1</v>
      </c>
      <c r="R300" s="0" t="str">
        <f aca="false">TEXT(K300,"mmm yyyy")</f>
        <v>Jan 2019</v>
      </c>
      <c r="S300" s="14" t="n">
        <f aca="false">HOUR(TIMEVALUE(L300))</f>
        <v>12</v>
      </c>
      <c r="T300" s="0" t="str">
        <f aca="false">IF(S300&lt;12,"Morning",IF(S300&lt;17,"Afternoon","Evening"))</f>
        <v>Afternoon</v>
      </c>
      <c r="U300" s="16" t="n">
        <f aca="false">G300*H300*0.05</f>
        <v>2.4885</v>
      </c>
    </row>
    <row r="301" customFormat="false" ht="15" hidden="false" customHeight="false" outlineLevel="0" collapsed="false">
      <c r="A301" s="0" t="s">
        <v>592</v>
      </c>
      <c r="B301" s="0" t="s">
        <v>33</v>
      </c>
      <c r="C301" s="0" t="s">
        <v>65</v>
      </c>
      <c r="D301" s="0" t="s">
        <v>21</v>
      </c>
      <c r="E301" s="0" t="s">
        <v>57</v>
      </c>
      <c r="F301" s="0" t="s">
        <v>36</v>
      </c>
      <c r="G301" s="16" t="n">
        <v>41.8</v>
      </c>
      <c r="H301" s="0" t="n">
        <v>3</v>
      </c>
      <c r="I301" s="16" t="n">
        <f aca="false">G301*H301*0.05</f>
        <v>6.27</v>
      </c>
      <c r="J301" s="16" t="n">
        <f aca="false">G301*H301*1.05</f>
        <v>131.67</v>
      </c>
      <c r="K301" s="17" t="n">
        <v>43493</v>
      </c>
      <c r="L301" s="14" t="s">
        <v>61</v>
      </c>
      <c r="M301" s="14" t="s">
        <v>30</v>
      </c>
      <c r="N301" s="16" t="n">
        <f aca="false">G301*H301</f>
        <v>125.4</v>
      </c>
      <c r="O301" s="18" t="n">
        <v>4.761904762</v>
      </c>
      <c r="P301" s="16" t="n">
        <f aca="false">I301</f>
        <v>6.27</v>
      </c>
      <c r="Q301" s="19" t="n">
        <v>7.9</v>
      </c>
      <c r="R301" s="0" t="str">
        <f aca="false">TEXT(K301,"mmm yyyy")</f>
        <v>Jan 2019</v>
      </c>
      <c r="S301" s="14" t="n">
        <f aca="false">HOUR(TIMEVALUE(L301))</f>
        <v>17</v>
      </c>
      <c r="T301" s="0" t="str">
        <f aca="false">IF(S301&lt;12,"Morning",IF(S301&lt;17,"Afternoon","Evening"))</f>
        <v>Evening</v>
      </c>
      <c r="U301" s="16" t="n">
        <f aca="false">G301*H301*0.05</f>
        <v>6.27</v>
      </c>
    </row>
    <row r="302" customFormat="false" ht="15" hidden="false" customHeight="false" outlineLevel="0" collapsed="false">
      <c r="A302" s="0" t="s">
        <v>593</v>
      </c>
      <c r="B302" s="0" t="s">
        <v>29</v>
      </c>
      <c r="C302" s="0" t="s">
        <v>56</v>
      </c>
      <c r="D302" s="0" t="s">
        <v>22</v>
      </c>
      <c r="E302" s="0" t="s">
        <v>57</v>
      </c>
      <c r="F302" s="0" t="s">
        <v>27</v>
      </c>
      <c r="G302" s="16" t="n">
        <v>32.08</v>
      </c>
      <c r="H302" s="0" t="n">
        <v>7</v>
      </c>
      <c r="I302" s="16" t="n">
        <f aca="false">G302*H302*0.05</f>
        <v>11.228</v>
      </c>
      <c r="J302" s="16" t="n">
        <f aca="false">G302*H302*1.05</f>
        <v>235.788</v>
      </c>
      <c r="K302" s="17" t="n">
        <v>43493</v>
      </c>
      <c r="L302" s="14" t="s">
        <v>327</v>
      </c>
      <c r="M302" s="14" t="s">
        <v>34</v>
      </c>
      <c r="N302" s="16" t="n">
        <f aca="false">G302*H302</f>
        <v>224.56</v>
      </c>
      <c r="O302" s="18" t="n">
        <v>4.761904762</v>
      </c>
      <c r="P302" s="16" t="n">
        <f aca="false">I302</f>
        <v>11.228</v>
      </c>
      <c r="Q302" s="19" t="n">
        <v>6.7</v>
      </c>
      <c r="R302" s="0" t="str">
        <f aca="false">TEXT(K302,"mmm yyyy")</f>
        <v>Jan 2019</v>
      </c>
      <c r="S302" s="14" t="n">
        <f aca="false">HOUR(TIMEVALUE(L302))</f>
        <v>17</v>
      </c>
      <c r="T302" s="0" t="str">
        <f aca="false">IF(S302&lt;12,"Morning",IF(S302&lt;17,"Afternoon","Evening"))</f>
        <v>Evening</v>
      </c>
      <c r="U302" s="16" t="n">
        <f aca="false">G302*H302*0.05</f>
        <v>11.228</v>
      </c>
    </row>
    <row r="303" customFormat="false" ht="15" hidden="false" customHeight="false" outlineLevel="0" collapsed="false">
      <c r="A303" s="0" t="s">
        <v>594</v>
      </c>
      <c r="B303" s="0" t="s">
        <v>33</v>
      </c>
      <c r="C303" s="0" t="s">
        <v>65</v>
      </c>
      <c r="D303" s="0" t="s">
        <v>21</v>
      </c>
      <c r="E303" s="0" t="s">
        <v>57</v>
      </c>
      <c r="F303" s="0" t="s">
        <v>37</v>
      </c>
      <c r="G303" s="16" t="n">
        <v>46.93</v>
      </c>
      <c r="H303" s="0" t="n">
        <v>4</v>
      </c>
      <c r="I303" s="16" t="n">
        <f aca="false">G303*H303*0.05</f>
        <v>9.386</v>
      </c>
      <c r="J303" s="16" t="n">
        <f aca="false">G303*H303*1.05</f>
        <v>197.106</v>
      </c>
      <c r="K303" s="17" t="n">
        <v>43493</v>
      </c>
      <c r="L303" s="14" t="s">
        <v>421</v>
      </c>
      <c r="M303" s="14" t="s">
        <v>34</v>
      </c>
      <c r="N303" s="16" t="n">
        <f aca="false">G303*H303</f>
        <v>187.72</v>
      </c>
      <c r="O303" s="18" t="n">
        <v>4.761904762</v>
      </c>
      <c r="P303" s="16" t="n">
        <f aca="false">I303</f>
        <v>9.386</v>
      </c>
      <c r="Q303" s="19" t="n">
        <v>4.9</v>
      </c>
      <c r="R303" s="0" t="str">
        <f aca="false">TEXT(K303,"mmm yyyy")</f>
        <v>Jan 2019</v>
      </c>
      <c r="S303" s="14" t="n">
        <f aca="false">HOUR(TIMEVALUE(L303))</f>
        <v>14</v>
      </c>
      <c r="T303" s="0" t="str">
        <f aca="false">IF(S303&lt;12,"Morning",IF(S303&lt;17,"Afternoon","Evening"))</f>
        <v>Afternoon</v>
      </c>
      <c r="U303" s="16" t="n">
        <f aca="false">G303*H303*0.05</f>
        <v>9.386</v>
      </c>
    </row>
    <row r="304" customFormat="false" ht="15" hidden="false" customHeight="false" outlineLevel="0" collapsed="false">
      <c r="A304" s="0" t="s">
        <v>595</v>
      </c>
      <c r="B304" s="0" t="s">
        <v>25</v>
      </c>
      <c r="C304" s="0" t="s">
        <v>68</v>
      </c>
      <c r="D304" s="0" t="s">
        <v>22</v>
      </c>
      <c r="E304" s="0" t="s">
        <v>57</v>
      </c>
      <c r="F304" s="0" t="s">
        <v>36</v>
      </c>
      <c r="G304" s="16" t="n">
        <v>97.01</v>
      </c>
      <c r="H304" s="0" t="n">
        <v>4</v>
      </c>
      <c r="I304" s="16" t="n">
        <f aca="false">G304*H304*0.05</f>
        <v>19.402</v>
      </c>
      <c r="J304" s="16" t="n">
        <f aca="false">G304*H304*1.05</f>
        <v>407.442</v>
      </c>
      <c r="K304" s="17" t="n">
        <v>43493</v>
      </c>
      <c r="L304" s="14" t="s">
        <v>261</v>
      </c>
      <c r="M304" s="14" t="s">
        <v>34</v>
      </c>
      <c r="N304" s="16" t="n">
        <f aca="false">G304*H304</f>
        <v>388.04</v>
      </c>
      <c r="O304" s="18" t="n">
        <v>4.761904762</v>
      </c>
      <c r="P304" s="16" t="n">
        <f aca="false">I304</f>
        <v>19.402</v>
      </c>
      <c r="Q304" s="19" t="n">
        <v>7.4</v>
      </c>
      <c r="R304" s="0" t="str">
        <f aca="false">TEXT(K304,"mmm yyyy")</f>
        <v>Jan 2019</v>
      </c>
      <c r="S304" s="14" t="n">
        <f aca="false">HOUR(TIMEVALUE(L304))</f>
        <v>16</v>
      </c>
      <c r="T304" s="0" t="str">
        <f aca="false">IF(S304&lt;12,"Morning",IF(S304&lt;17,"Afternoon","Evening"))</f>
        <v>Afternoon</v>
      </c>
      <c r="U304" s="16" t="n">
        <f aca="false">G304*H304*0.05</f>
        <v>19.402</v>
      </c>
    </row>
    <row r="305" customFormat="false" ht="15" hidden="false" customHeight="false" outlineLevel="0" collapsed="false">
      <c r="A305" s="0" t="s">
        <v>596</v>
      </c>
      <c r="B305" s="0" t="s">
        <v>25</v>
      </c>
      <c r="C305" s="0" t="s">
        <v>68</v>
      </c>
      <c r="D305" s="0" t="s">
        <v>22</v>
      </c>
      <c r="E305" s="0" t="s">
        <v>60</v>
      </c>
      <c r="F305" s="0" t="s">
        <v>35</v>
      </c>
      <c r="G305" s="16" t="n">
        <v>83.25</v>
      </c>
      <c r="H305" s="0" t="n">
        <v>2</v>
      </c>
      <c r="I305" s="16" t="n">
        <f aca="false">G305*H305*0.05</f>
        <v>8.325</v>
      </c>
      <c r="J305" s="16" t="n">
        <f aca="false">G305*H305*1.05</f>
        <v>174.825</v>
      </c>
      <c r="K305" s="17" t="n">
        <v>43493</v>
      </c>
      <c r="L305" s="14" t="s">
        <v>597</v>
      </c>
      <c r="M305" s="14" t="s">
        <v>30</v>
      </c>
      <c r="N305" s="16" t="n">
        <f aca="false">G305*H305</f>
        <v>166.5</v>
      </c>
      <c r="O305" s="18" t="n">
        <v>4.761904762</v>
      </c>
      <c r="P305" s="16" t="n">
        <f aca="false">I305</f>
        <v>8.325</v>
      </c>
      <c r="Q305" s="19" t="n">
        <v>6.2</v>
      </c>
      <c r="R305" s="0" t="str">
        <f aca="false">TEXT(K305,"mmm yyyy")</f>
        <v>Jan 2019</v>
      </c>
      <c r="S305" s="14" t="n">
        <f aca="false">HOUR(TIMEVALUE(L305))</f>
        <v>20</v>
      </c>
      <c r="T305" s="0" t="str">
        <f aca="false">IF(S305&lt;12,"Morning",IF(S305&lt;17,"Afternoon","Evening"))</f>
        <v>Evening</v>
      </c>
      <c r="U305" s="16" t="n">
        <f aca="false">G305*H305*0.05</f>
        <v>8.325</v>
      </c>
    </row>
    <row r="306" customFormat="false" ht="15" hidden="false" customHeight="false" outlineLevel="0" collapsed="false">
      <c r="A306" s="0" t="s">
        <v>598</v>
      </c>
      <c r="B306" s="0" t="s">
        <v>25</v>
      </c>
      <c r="C306" s="0" t="s">
        <v>68</v>
      </c>
      <c r="D306" s="0" t="s">
        <v>22</v>
      </c>
      <c r="E306" s="0" t="s">
        <v>57</v>
      </c>
      <c r="F306" s="0" t="s">
        <v>37</v>
      </c>
      <c r="G306" s="16" t="n">
        <v>19.13</v>
      </c>
      <c r="H306" s="0" t="n">
        <v>2</v>
      </c>
      <c r="I306" s="16" t="n">
        <f aca="false">G306*H306*0.05</f>
        <v>1.913</v>
      </c>
      <c r="J306" s="16" t="n">
        <f aca="false">G306*H306*1.05</f>
        <v>40.173</v>
      </c>
      <c r="K306" s="17" t="n">
        <v>43494</v>
      </c>
      <c r="L306" s="14" t="s">
        <v>599</v>
      </c>
      <c r="M306" s="14" t="s">
        <v>34</v>
      </c>
      <c r="N306" s="16" t="n">
        <f aca="false">G306*H306</f>
        <v>38.26</v>
      </c>
      <c r="O306" s="18" t="n">
        <v>4.761904762</v>
      </c>
      <c r="P306" s="16" t="n">
        <f aca="false">I306</f>
        <v>1.913</v>
      </c>
      <c r="Q306" s="19" t="n">
        <v>8.8</v>
      </c>
      <c r="R306" s="0" t="str">
        <f aca="false">TEXT(K306,"mmm yyyy")</f>
        <v>Jan 2019</v>
      </c>
      <c r="S306" s="14" t="n">
        <f aca="false">HOUR(TIMEVALUE(L306))</f>
        <v>12</v>
      </c>
      <c r="T306" s="0" t="str">
        <f aca="false">IF(S306&lt;12,"Morning",IF(S306&lt;17,"Afternoon","Evening"))</f>
        <v>Afternoon</v>
      </c>
      <c r="U306" s="16" t="n">
        <f aca="false">G306*H306*0.05</f>
        <v>1.913</v>
      </c>
    </row>
    <row r="307" customFormat="false" ht="15" hidden="false" customHeight="false" outlineLevel="0" collapsed="false">
      <c r="A307" s="0" t="s">
        <v>600</v>
      </c>
      <c r="B307" s="0" t="s">
        <v>25</v>
      </c>
      <c r="C307" s="0" t="s">
        <v>68</v>
      </c>
      <c r="D307" s="0" t="s">
        <v>21</v>
      </c>
      <c r="E307" s="0" t="s">
        <v>57</v>
      </c>
      <c r="F307" s="0" t="s">
        <v>37</v>
      </c>
      <c r="G307" s="16" t="n">
        <v>60.57</v>
      </c>
      <c r="H307" s="0" t="n">
        <v>2</v>
      </c>
      <c r="I307" s="16" t="n">
        <f aca="false">G307*H307*0.05</f>
        <v>6.057</v>
      </c>
      <c r="J307" s="16" t="n">
        <f aca="false">G307*H307*1.05</f>
        <v>127.197</v>
      </c>
      <c r="K307" s="17" t="n">
        <v>43494</v>
      </c>
      <c r="L307" s="14" t="s">
        <v>450</v>
      </c>
      <c r="M307" s="14" t="s">
        <v>30</v>
      </c>
      <c r="N307" s="16" t="n">
        <f aca="false">G307*H307</f>
        <v>121.14</v>
      </c>
      <c r="O307" s="18" t="n">
        <v>4.761904762</v>
      </c>
      <c r="P307" s="16" t="n">
        <f aca="false">I307</f>
        <v>6.057</v>
      </c>
      <c r="Q307" s="19" t="n">
        <v>8.2</v>
      </c>
      <c r="R307" s="0" t="str">
        <f aca="false">TEXT(K307,"mmm yyyy")</f>
        <v>Jan 2019</v>
      </c>
      <c r="S307" s="14" t="n">
        <f aca="false">HOUR(TIMEVALUE(L307))</f>
        <v>12</v>
      </c>
      <c r="T307" s="0" t="str">
        <f aca="false">IF(S307&lt;12,"Morning",IF(S307&lt;17,"Afternoon","Evening"))</f>
        <v>Afternoon</v>
      </c>
      <c r="U307" s="16" t="n">
        <f aca="false">G307*H307*0.05</f>
        <v>6.057</v>
      </c>
    </row>
    <row r="308" customFormat="false" ht="15" hidden="false" customHeight="false" outlineLevel="0" collapsed="false">
      <c r="A308" s="0" t="s">
        <v>601</v>
      </c>
      <c r="B308" s="0" t="s">
        <v>33</v>
      </c>
      <c r="C308" s="0" t="s">
        <v>65</v>
      </c>
      <c r="D308" s="0" t="s">
        <v>22</v>
      </c>
      <c r="E308" s="0" t="s">
        <v>60</v>
      </c>
      <c r="F308" s="0" t="s">
        <v>23</v>
      </c>
      <c r="G308" s="16" t="n">
        <v>10.33</v>
      </c>
      <c r="H308" s="0" t="n">
        <v>9</v>
      </c>
      <c r="I308" s="16" t="n">
        <f aca="false">G308*H308*0.05</f>
        <v>4.6485</v>
      </c>
      <c r="J308" s="16" t="n">
        <f aca="false">G308*H308*1.05</f>
        <v>97.6185</v>
      </c>
      <c r="K308" s="17" t="n">
        <v>43494</v>
      </c>
      <c r="L308" s="14" t="s">
        <v>148</v>
      </c>
      <c r="M308" s="14" t="s">
        <v>30</v>
      </c>
      <c r="N308" s="16" t="n">
        <f aca="false">G308*H308</f>
        <v>92.97</v>
      </c>
      <c r="O308" s="18" t="n">
        <v>4.761904762</v>
      </c>
      <c r="P308" s="16" t="n">
        <f aca="false">I308</f>
        <v>4.6485</v>
      </c>
      <c r="Q308" s="19" t="n">
        <v>5</v>
      </c>
      <c r="R308" s="0" t="str">
        <f aca="false">TEXT(K308,"mmm yyyy")</f>
        <v>Jan 2019</v>
      </c>
      <c r="S308" s="14" t="n">
        <f aca="false">HOUR(TIMEVALUE(L308))</f>
        <v>18</v>
      </c>
      <c r="T308" s="0" t="str">
        <f aca="false">IF(S308&lt;12,"Morning",IF(S308&lt;17,"Afternoon","Evening"))</f>
        <v>Evening</v>
      </c>
      <c r="U308" s="16" t="n">
        <f aca="false">G308*H308*0.05</f>
        <v>4.6485</v>
      </c>
    </row>
    <row r="309" customFormat="false" ht="15" hidden="false" customHeight="false" outlineLevel="0" collapsed="false">
      <c r="A309" s="0" t="s">
        <v>602</v>
      </c>
      <c r="B309" s="0" t="s">
        <v>29</v>
      </c>
      <c r="C309" s="0" t="s">
        <v>56</v>
      </c>
      <c r="D309" s="0" t="s">
        <v>22</v>
      </c>
      <c r="E309" s="0" t="s">
        <v>60</v>
      </c>
      <c r="F309" s="0" t="s">
        <v>36</v>
      </c>
      <c r="G309" s="16" t="n">
        <v>32.25</v>
      </c>
      <c r="H309" s="0" t="n">
        <v>1</v>
      </c>
      <c r="I309" s="16" t="n">
        <f aca="false">G309*H309*0.05</f>
        <v>1.6125</v>
      </c>
      <c r="J309" s="16" t="n">
        <f aca="false">G309*H309*1.05</f>
        <v>33.8625</v>
      </c>
      <c r="K309" s="17" t="n">
        <v>43494</v>
      </c>
      <c r="L309" s="14" t="s">
        <v>603</v>
      </c>
      <c r="M309" s="14" t="s">
        <v>26</v>
      </c>
      <c r="N309" s="16" t="n">
        <f aca="false">G309*H309</f>
        <v>32.25</v>
      </c>
      <c r="O309" s="18" t="n">
        <v>4.761904762</v>
      </c>
      <c r="P309" s="16" t="n">
        <f aca="false">I309</f>
        <v>1.6125</v>
      </c>
      <c r="Q309" s="19" t="n">
        <v>8.5</v>
      </c>
      <c r="R309" s="0" t="str">
        <f aca="false">TEXT(K309,"mmm yyyy")</f>
        <v>Jan 2019</v>
      </c>
      <c r="S309" s="14" t="n">
        <f aca="false">HOUR(TIMEVALUE(L309))</f>
        <v>19</v>
      </c>
      <c r="T309" s="0" t="str">
        <f aca="false">IF(S309&lt;12,"Morning",IF(S309&lt;17,"Afternoon","Evening"))</f>
        <v>Evening</v>
      </c>
      <c r="U309" s="16" t="n">
        <f aca="false">G309*H309*0.05</f>
        <v>1.6125</v>
      </c>
    </row>
    <row r="310" customFormat="false" ht="15" hidden="false" customHeight="false" outlineLevel="0" collapsed="false">
      <c r="A310" s="0" t="s">
        <v>604</v>
      </c>
      <c r="B310" s="0" t="s">
        <v>25</v>
      </c>
      <c r="C310" s="0" t="s">
        <v>68</v>
      </c>
      <c r="D310" s="0" t="s">
        <v>21</v>
      </c>
      <c r="E310" s="0" t="s">
        <v>57</v>
      </c>
      <c r="F310" s="0" t="s">
        <v>27</v>
      </c>
      <c r="G310" s="16" t="n">
        <v>92.72</v>
      </c>
      <c r="H310" s="0" t="n">
        <v>6</v>
      </c>
      <c r="I310" s="16" t="n">
        <f aca="false">G310*H310*0.05</f>
        <v>27.816</v>
      </c>
      <c r="J310" s="16" t="n">
        <f aca="false">G310*H310*1.05</f>
        <v>584.136</v>
      </c>
      <c r="K310" s="17" t="n">
        <v>43494</v>
      </c>
      <c r="L310" s="14" t="s">
        <v>340</v>
      </c>
      <c r="M310" s="14" t="s">
        <v>34</v>
      </c>
      <c r="N310" s="16" t="n">
        <f aca="false">G310*H310</f>
        <v>556.32</v>
      </c>
      <c r="O310" s="18" t="n">
        <v>4.761904762</v>
      </c>
      <c r="P310" s="16" t="n">
        <f aca="false">I310</f>
        <v>27.816</v>
      </c>
      <c r="Q310" s="19" t="n">
        <v>7.1</v>
      </c>
      <c r="R310" s="0" t="str">
        <f aca="false">TEXT(K310,"mmm yyyy")</f>
        <v>Jan 2019</v>
      </c>
      <c r="S310" s="14" t="n">
        <f aca="false">HOUR(TIMEVALUE(L310))</f>
        <v>20</v>
      </c>
      <c r="T310" s="0" t="str">
        <f aca="false">IF(S310&lt;12,"Morning",IF(S310&lt;17,"Afternoon","Evening"))</f>
        <v>Evening</v>
      </c>
      <c r="U310" s="16" t="n">
        <f aca="false">G310*H310*0.05</f>
        <v>27.816</v>
      </c>
    </row>
    <row r="311" customFormat="false" ht="15" hidden="false" customHeight="false" outlineLevel="0" collapsed="false">
      <c r="A311" s="0" t="s">
        <v>605</v>
      </c>
      <c r="B311" s="0" t="s">
        <v>29</v>
      </c>
      <c r="C311" s="0" t="s">
        <v>56</v>
      </c>
      <c r="D311" s="0" t="s">
        <v>21</v>
      </c>
      <c r="E311" s="0" t="s">
        <v>57</v>
      </c>
      <c r="F311" s="0" t="s">
        <v>36</v>
      </c>
      <c r="G311" s="16" t="n">
        <v>29.36</v>
      </c>
      <c r="H311" s="0" t="n">
        <v>3</v>
      </c>
      <c r="I311" s="16" t="n">
        <f aca="false">G311*H311*0.05</f>
        <v>4.404</v>
      </c>
      <c r="J311" s="16" t="n">
        <f aca="false">G311*H311*1.05</f>
        <v>92.484</v>
      </c>
      <c r="K311" s="17" t="n">
        <v>43494</v>
      </c>
      <c r="L311" s="14" t="s">
        <v>606</v>
      </c>
      <c r="M311" s="14" t="s">
        <v>30</v>
      </c>
      <c r="N311" s="16" t="n">
        <f aca="false">G311*H311</f>
        <v>88.08</v>
      </c>
      <c r="O311" s="18" t="n">
        <v>4.761904762</v>
      </c>
      <c r="P311" s="16" t="n">
        <f aca="false">I311</f>
        <v>4.404</v>
      </c>
      <c r="Q311" s="19" t="n">
        <v>9.7</v>
      </c>
      <c r="R311" s="0" t="str">
        <f aca="false">TEXT(K311,"mmm yyyy")</f>
        <v>Jan 2019</v>
      </c>
      <c r="S311" s="14" t="n">
        <f aca="false">HOUR(TIMEVALUE(L311))</f>
        <v>20</v>
      </c>
      <c r="T311" s="0" t="str">
        <f aca="false">IF(S311&lt;12,"Morning",IF(S311&lt;17,"Afternoon","Evening"))</f>
        <v>Evening</v>
      </c>
      <c r="U311" s="16" t="n">
        <f aca="false">G311*H311*0.05</f>
        <v>4.404</v>
      </c>
    </row>
    <row r="312" customFormat="false" ht="15" hidden="false" customHeight="false" outlineLevel="0" collapsed="false">
      <c r="A312" s="0" t="s">
        <v>607</v>
      </c>
      <c r="B312" s="0" t="s">
        <v>33</v>
      </c>
      <c r="C312" s="0" t="s">
        <v>65</v>
      </c>
      <c r="D312" s="0" t="s">
        <v>21</v>
      </c>
      <c r="E312" s="0" t="s">
        <v>57</v>
      </c>
      <c r="F312" s="0" t="s">
        <v>35</v>
      </c>
      <c r="G312" s="16" t="n">
        <v>45.39</v>
      </c>
      <c r="H312" s="0" t="n">
        <v>2</v>
      </c>
      <c r="I312" s="16" t="n">
        <f aca="false">G312*H312*0.05</f>
        <v>4.539</v>
      </c>
      <c r="J312" s="16" t="n">
        <f aca="false">G312*H312*1.05</f>
        <v>95.319</v>
      </c>
      <c r="K312" s="17" t="n">
        <v>43494</v>
      </c>
      <c r="L312" s="14" t="s">
        <v>350</v>
      </c>
      <c r="M312" s="14" t="s">
        <v>30</v>
      </c>
      <c r="N312" s="16" t="n">
        <f aca="false">G312*H312</f>
        <v>90.78</v>
      </c>
      <c r="O312" s="18" t="n">
        <v>4.761904762</v>
      </c>
      <c r="P312" s="16" t="n">
        <f aca="false">I312</f>
        <v>4.539</v>
      </c>
      <c r="Q312" s="19" t="n">
        <v>9.8</v>
      </c>
      <c r="R312" s="0" t="str">
        <f aca="false">TEXT(K312,"mmm yyyy")</f>
        <v>Jan 2019</v>
      </c>
      <c r="S312" s="14" t="n">
        <f aca="false">HOUR(TIMEVALUE(L312))</f>
        <v>16</v>
      </c>
      <c r="T312" s="0" t="str">
        <f aca="false">IF(S312&lt;12,"Morning",IF(S312&lt;17,"Afternoon","Evening"))</f>
        <v>Afternoon</v>
      </c>
      <c r="U312" s="16" t="n">
        <f aca="false">G312*H312*0.05</f>
        <v>4.539</v>
      </c>
    </row>
    <row r="313" customFormat="false" ht="15" hidden="false" customHeight="false" outlineLevel="0" collapsed="false">
      <c r="A313" s="0" t="s">
        <v>608</v>
      </c>
      <c r="B313" s="0" t="s">
        <v>33</v>
      </c>
      <c r="C313" s="0" t="s">
        <v>65</v>
      </c>
      <c r="D313" s="0" t="s">
        <v>21</v>
      </c>
      <c r="E313" s="0" t="s">
        <v>60</v>
      </c>
      <c r="F313" s="0" t="s">
        <v>35</v>
      </c>
      <c r="G313" s="16" t="n">
        <v>75.12</v>
      </c>
      <c r="H313" s="0" t="n">
        <v>10</v>
      </c>
      <c r="I313" s="16" t="n">
        <f aca="false">G313*H313*0.05</f>
        <v>37.56</v>
      </c>
      <c r="J313" s="16" t="n">
        <f aca="false">G313*H313*1.05</f>
        <v>788.76</v>
      </c>
      <c r="K313" s="17" t="n">
        <v>43494</v>
      </c>
      <c r="L313" s="14" t="s">
        <v>609</v>
      </c>
      <c r="M313" s="14" t="s">
        <v>34</v>
      </c>
      <c r="N313" s="16" t="n">
        <f aca="false">G313*H313</f>
        <v>751.2</v>
      </c>
      <c r="O313" s="18" t="n">
        <v>4.761904762</v>
      </c>
      <c r="P313" s="16" t="n">
        <f aca="false">I313</f>
        <v>37.56</v>
      </c>
      <c r="Q313" s="19" t="n">
        <v>7.6</v>
      </c>
      <c r="R313" s="0" t="str">
        <f aca="false">TEXT(K313,"mmm yyyy")</f>
        <v>Jan 2019</v>
      </c>
      <c r="S313" s="14" t="n">
        <f aca="false">HOUR(TIMEVALUE(L313))</f>
        <v>13</v>
      </c>
      <c r="T313" s="0" t="str">
        <f aca="false">IF(S313&lt;12,"Morning",IF(S313&lt;17,"Afternoon","Evening"))</f>
        <v>Afternoon</v>
      </c>
      <c r="U313" s="16" t="n">
        <f aca="false">G313*H313*0.05</f>
        <v>37.56</v>
      </c>
    </row>
    <row r="314" customFormat="false" ht="15" hidden="false" customHeight="false" outlineLevel="0" collapsed="false">
      <c r="A314" s="0" t="s">
        <v>610</v>
      </c>
      <c r="B314" s="0" t="s">
        <v>25</v>
      </c>
      <c r="C314" s="0" t="s">
        <v>68</v>
      </c>
      <c r="D314" s="0" t="s">
        <v>21</v>
      </c>
      <c r="E314" s="0" t="s">
        <v>57</v>
      </c>
      <c r="F314" s="0" t="s">
        <v>36</v>
      </c>
      <c r="G314" s="16" t="n">
        <v>40.3</v>
      </c>
      <c r="H314" s="0" t="n">
        <v>6</v>
      </c>
      <c r="I314" s="16" t="n">
        <f aca="false">G314*H314*0.05</f>
        <v>12.09</v>
      </c>
      <c r="J314" s="16" t="n">
        <f aca="false">G314*H314*1.05</f>
        <v>253.89</v>
      </c>
      <c r="K314" s="17" t="n">
        <v>43494</v>
      </c>
      <c r="L314" s="14" t="s">
        <v>611</v>
      </c>
      <c r="M314" s="14" t="s">
        <v>30</v>
      </c>
      <c r="N314" s="16" t="n">
        <f aca="false">G314*H314</f>
        <v>241.8</v>
      </c>
      <c r="O314" s="18" t="n">
        <v>4.761904762</v>
      </c>
      <c r="P314" s="16" t="n">
        <f aca="false">I314</f>
        <v>12.09</v>
      </c>
      <c r="Q314" s="19" t="n">
        <v>8.6</v>
      </c>
      <c r="R314" s="0" t="str">
        <f aca="false">TEXT(K314,"mmm yyyy")</f>
        <v>Jan 2019</v>
      </c>
      <c r="S314" s="14" t="n">
        <f aca="false">HOUR(TIMEVALUE(L314))</f>
        <v>15</v>
      </c>
      <c r="T314" s="0" t="str">
        <f aca="false">IF(S314&lt;12,"Morning",IF(S314&lt;17,"Afternoon","Evening"))</f>
        <v>Afternoon</v>
      </c>
      <c r="U314" s="16" t="n">
        <f aca="false">G314*H314*0.05</f>
        <v>12.09</v>
      </c>
    </row>
    <row r="315" customFormat="false" ht="15" hidden="false" customHeight="false" outlineLevel="0" collapsed="false">
      <c r="A315" s="0" t="s">
        <v>612</v>
      </c>
      <c r="B315" s="0" t="s">
        <v>33</v>
      </c>
      <c r="C315" s="0" t="s">
        <v>65</v>
      </c>
      <c r="D315" s="0" t="s">
        <v>22</v>
      </c>
      <c r="E315" s="0" t="s">
        <v>60</v>
      </c>
      <c r="F315" s="0" t="s">
        <v>27</v>
      </c>
      <c r="G315" s="16" t="n">
        <v>39.83</v>
      </c>
      <c r="H315" s="0" t="n">
        <v>6</v>
      </c>
      <c r="I315" s="16" t="n">
        <f aca="false">G315*H315*0.05</f>
        <v>11.949</v>
      </c>
      <c r="J315" s="16" t="n">
        <f aca="false">G315*H315*1.05</f>
        <v>250.929</v>
      </c>
      <c r="K315" s="17" t="n">
        <v>43494</v>
      </c>
      <c r="L315" s="14" t="s">
        <v>613</v>
      </c>
      <c r="M315" s="14" t="s">
        <v>26</v>
      </c>
      <c r="N315" s="16" t="n">
        <f aca="false">G315*H315</f>
        <v>238.98</v>
      </c>
      <c r="O315" s="18" t="n">
        <v>4.761904762</v>
      </c>
      <c r="P315" s="16" t="n">
        <f aca="false">I315</f>
        <v>11.949</v>
      </c>
      <c r="Q315" s="19" t="n">
        <v>9.2</v>
      </c>
      <c r="R315" s="0" t="str">
        <f aca="false">TEXT(K315,"mmm yyyy")</f>
        <v>Jan 2019</v>
      </c>
      <c r="S315" s="14" t="n">
        <f aca="false">HOUR(TIMEVALUE(L315))</f>
        <v>10</v>
      </c>
      <c r="T315" s="0" t="str">
        <f aca="false">IF(S315&lt;12,"Morning",IF(S315&lt;17,"Afternoon","Evening"))</f>
        <v>Morning</v>
      </c>
      <c r="U315" s="16" t="n">
        <f aca="false">G315*H315*0.05</f>
        <v>11.949</v>
      </c>
    </row>
    <row r="316" customFormat="false" ht="15" hidden="false" customHeight="false" outlineLevel="0" collapsed="false">
      <c r="A316" s="0" t="s">
        <v>614</v>
      </c>
      <c r="B316" s="0" t="s">
        <v>33</v>
      </c>
      <c r="C316" s="0" t="s">
        <v>65</v>
      </c>
      <c r="D316" s="0" t="s">
        <v>22</v>
      </c>
      <c r="E316" s="0" t="s">
        <v>60</v>
      </c>
      <c r="F316" s="0" t="s">
        <v>37</v>
      </c>
      <c r="G316" s="16" t="n">
        <v>56.49</v>
      </c>
      <c r="H316" s="0" t="n">
        <v>1</v>
      </c>
      <c r="I316" s="16" t="n">
        <f aca="false">G316*H316*0.05</f>
        <v>2.8245</v>
      </c>
      <c r="J316" s="16" t="n">
        <f aca="false">G316*H316*1.05</f>
        <v>59.3145</v>
      </c>
      <c r="K316" s="17" t="n">
        <v>43494</v>
      </c>
      <c r="L316" s="14" t="s">
        <v>615</v>
      </c>
      <c r="M316" s="14" t="s">
        <v>30</v>
      </c>
      <c r="N316" s="16" t="n">
        <f aca="false">G316*H316</f>
        <v>56.49</v>
      </c>
      <c r="O316" s="18" t="n">
        <v>4.761904762</v>
      </c>
      <c r="P316" s="16" t="n">
        <f aca="false">I316</f>
        <v>2.8245</v>
      </c>
      <c r="Q316" s="19" t="n">
        <v>6.4</v>
      </c>
      <c r="R316" s="0" t="str">
        <f aca="false">TEXT(K316,"mmm yyyy")</f>
        <v>Jan 2019</v>
      </c>
      <c r="S316" s="14" t="n">
        <f aca="false">HOUR(TIMEVALUE(L316))</f>
        <v>14</v>
      </c>
      <c r="T316" s="0" t="str">
        <f aca="false">IF(S316&lt;12,"Morning",IF(S316&lt;17,"Afternoon","Evening"))</f>
        <v>Afternoon</v>
      </c>
      <c r="U316" s="16" t="n">
        <f aca="false">G316*H316*0.05</f>
        <v>2.8245</v>
      </c>
    </row>
    <row r="317" customFormat="false" ht="15" hidden="false" customHeight="false" outlineLevel="0" collapsed="false">
      <c r="A317" s="0" t="s">
        <v>616</v>
      </c>
      <c r="B317" s="0" t="s">
        <v>29</v>
      </c>
      <c r="C317" s="0" t="s">
        <v>56</v>
      </c>
      <c r="D317" s="0" t="s">
        <v>21</v>
      </c>
      <c r="E317" s="0" t="s">
        <v>57</v>
      </c>
      <c r="F317" s="0" t="s">
        <v>37</v>
      </c>
      <c r="G317" s="16" t="n">
        <v>62.94</v>
      </c>
      <c r="H317" s="0" t="n">
        <v>3</v>
      </c>
      <c r="I317" s="16" t="n">
        <f aca="false">G317*H317*0.05</f>
        <v>9.441</v>
      </c>
      <c r="J317" s="16" t="n">
        <f aca="false">G317*H317*1.05</f>
        <v>198.261</v>
      </c>
      <c r="K317" s="17" t="n">
        <v>43494</v>
      </c>
      <c r="L317" s="14" t="s">
        <v>617</v>
      </c>
      <c r="M317" s="14" t="s">
        <v>26</v>
      </c>
      <c r="N317" s="16" t="n">
        <f aca="false">G317*H317</f>
        <v>188.82</v>
      </c>
      <c r="O317" s="18" t="n">
        <v>4.761904762</v>
      </c>
      <c r="P317" s="16" t="n">
        <f aca="false">I317</f>
        <v>9.441</v>
      </c>
      <c r="Q317" s="19" t="n">
        <v>4.8</v>
      </c>
      <c r="R317" s="0" t="str">
        <f aca="false">TEXT(K317,"mmm yyyy")</f>
        <v>Jan 2019</v>
      </c>
      <c r="S317" s="14" t="n">
        <f aca="false">HOUR(TIMEVALUE(L317))</f>
        <v>17</v>
      </c>
      <c r="T317" s="0" t="str">
        <f aca="false">IF(S317&lt;12,"Morning",IF(S317&lt;17,"Afternoon","Evening"))</f>
        <v>Evening</v>
      </c>
      <c r="U317" s="16" t="n">
        <f aca="false">G317*H317*0.05</f>
        <v>9.441</v>
      </c>
    </row>
    <row r="318" customFormat="false" ht="15" hidden="false" customHeight="false" outlineLevel="0" collapsed="false">
      <c r="A318" s="0" t="s">
        <v>618</v>
      </c>
      <c r="B318" s="0" t="s">
        <v>25</v>
      </c>
      <c r="C318" s="0" t="s">
        <v>68</v>
      </c>
      <c r="D318" s="0" t="s">
        <v>21</v>
      </c>
      <c r="E318" s="0" t="s">
        <v>60</v>
      </c>
      <c r="F318" s="0" t="s">
        <v>23</v>
      </c>
      <c r="G318" s="16" t="n">
        <v>30.07</v>
      </c>
      <c r="H318" s="0" t="n">
        <v>4</v>
      </c>
      <c r="I318" s="16" t="n">
        <f aca="false">G318*H318*0.05</f>
        <v>6.014</v>
      </c>
      <c r="J318" s="16" t="n">
        <f aca="false">G318*H318*1.05</f>
        <v>126.294</v>
      </c>
      <c r="K318" s="17" t="n">
        <v>43494</v>
      </c>
      <c r="L318" s="14" t="s">
        <v>619</v>
      </c>
      <c r="M318" s="14" t="s">
        <v>26</v>
      </c>
      <c r="N318" s="16" t="n">
        <f aca="false">G318*H318</f>
        <v>120.28</v>
      </c>
      <c r="O318" s="18" t="n">
        <v>4.761904762</v>
      </c>
      <c r="P318" s="16" t="n">
        <f aca="false">I318</f>
        <v>6.014</v>
      </c>
      <c r="Q318" s="19" t="n">
        <v>8.5</v>
      </c>
      <c r="R318" s="0" t="str">
        <f aca="false">TEXT(K318,"mmm yyyy")</f>
        <v>Jan 2019</v>
      </c>
      <c r="S318" s="14" t="n">
        <f aca="false">HOUR(TIMEVALUE(L318))</f>
        <v>15</v>
      </c>
      <c r="T318" s="0" t="str">
        <f aca="false">IF(S318&lt;12,"Morning",IF(S318&lt;17,"Afternoon","Evening"))</f>
        <v>Afternoon</v>
      </c>
      <c r="U318" s="16" t="n">
        <f aca="false">G318*H318*0.05</f>
        <v>6.014</v>
      </c>
    </row>
    <row r="319" customFormat="false" ht="15" hidden="false" customHeight="false" outlineLevel="0" collapsed="false">
      <c r="A319" s="0" t="s">
        <v>620</v>
      </c>
      <c r="B319" s="0" t="s">
        <v>25</v>
      </c>
      <c r="C319" s="0" t="s">
        <v>68</v>
      </c>
      <c r="D319" s="0" t="s">
        <v>21</v>
      </c>
      <c r="E319" s="0" t="s">
        <v>57</v>
      </c>
      <c r="F319" s="0" t="s">
        <v>23</v>
      </c>
      <c r="G319" s="16" t="n">
        <v>97.28</v>
      </c>
      <c r="H319" s="0" t="n">
        <v>10</v>
      </c>
      <c r="I319" s="16" t="n">
        <f aca="false">G319*H319*0.05</f>
        <v>48.64</v>
      </c>
      <c r="J319" s="16" t="n">
        <f aca="false">G319*H319*1.05</f>
        <v>1021.44</v>
      </c>
      <c r="K319" s="17" t="n">
        <v>43494</v>
      </c>
      <c r="L319" s="14" t="s">
        <v>494</v>
      </c>
      <c r="M319" s="14" t="s">
        <v>34</v>
      </c>
      <c r="N319" s="16" t="n">
        <f aca="false">G319*H319</f>
        <v>972.8</v>
      </c>
      <c r="O319" s="18" t="n">
        <v>4.761904762</v>
      </c>
      <c r="P319" s="16" t="n">
        <f aca="false">I319</f>
        <v>48.64</v>
      </c>
      <c r="Q319" s="19" t="n">
        <v>8.4</v>
      </c>
      <c r="R319" s="0" t="str">
        <f aca="false">TEXT(K319,"mmm yyyy")</f>
        <v>Jan 2019</v>
      </c>
      <c r="S319" s="14" t="n">
        <f aca="false">HOUR(TIMEVALUE(L319))</f>
        <v>16</v>
      </c>
      <c r="T319" s="0" t="str">
        <f aca="false">IF(S319&lt;12,"Morning",IF(S319&lt;17,"Afternoon","Evening"))</f>
        <v>Afternoon</v>
      </c>
      <c r="U319" s="16" t="n">
        <f aca="false">G319*H319*0.05</f>
        <v>48.64</v>
      </c>
    </row>
    <row r="320" customFormat="false" ht="15" hidden="false" customHeight="false" outlineLevel="0" collapsed="false">
      <c r="A320" s="0" t="s">
        <v>621</v>
      </c>
      <c r="B320" s="0" t="s">
        <v>25</v>
      </c>
      <c r="C320" s="0" t="s">
        <v>68</v>
      </c>
      <c r="D320" s="0" t="s">
        <v>22</v>
      </c>
      <c r="E320" s="0" t="s">
        <v>57</v>
      </c>
      <c r="F320" s="0" t="s">
        <v>31</v>
      </c>
      <c r="G320" s="16" t="n">
        <v>90.36</v>
      </c>
      <c r="H320" s="0" t="n">
        <v>7</v>
      </c>
      <c r="I320" s="16" t="n">
        <f aca="false">G320*H320*0.05</f>
        <v>31.626</v>
      </c>
      <c r="J320" s="16" t="n">
        <f aca="false">G320*H320*1.05</f>
        <v>664.146</v>
      </c>
      <c r="K320" s="17" t="n">
        <v>43494</v>
      </c>
      <c r="L320" s="14" t="s">
        <v>622</v>
      </c>
      <c r="M320" s="14" t="s">
        <v>34</v>
      </c>
      <c r="N320" s="16" t="n">
        <f aca="false">G320*H320</f>
        <v>632.52</v>
      </c>
      <c r="O320" s="18" t="n">
        <v>4.761904762</v>
      </c>
      <c r="P320" s="16" t="n">
        <f aca="false">I320</f>
        <v>31.626</v>
      </c>
      <c r="Q320" s="19" t="n">
        <v>6.6</v>
      </c>
      <c r="R320" s="0" t="str">
        <f aca="false">TEXT(K320,"mmm yyyy")</f>
        <v>Jan 2019</v>
      </c>
      <c r="S320" s="14" t="n">
        <f aca="false">HOUR(TIMEVALUE(L320))</f>
        <v>11</v>
      </c>
      <c r="T320" s="0" t="str">
        <f aca="false">IF(S320&lt;12,"Morning",IF(S320&lt;17,"Afternoon","Evening"))</f>
        <v>Morning</v>
      </c>
      <c r="U320" s="16" t="n">
        <f aca="false">G320*H320*0.05</f>
        <v>31.626</v>
      </c>
    </row>
    <row r="321" customFormat="false" ht="15" hidden="false" customHeight="false" outlineLevel="0" collapsed="false">
      <c r="A321" s="0" t="s">
        <v>623</v>
      </c>
      <c r="B321" s="0" t="s">
        <v>33</v>
      </c>
      <c r="C321" s="0" t="s">
        <v>65</v>
      </c>
      <c r="D321" s="0" t="s">
        <v>22</v>
      </c>
      <c r="E321" s="0" t="s">
        <v>60</v>
      </c>
      <c r="F321" s="0" t="s">
        <v>35</v>
      </c>
      <c r="G321" s="16" t="n">
        <v>60.45</v>
      </c>
      <c r="H321" s="0" t="n">
        <v>1</v>
      </c>
      <c r="I321" s="16" t="n">
        <f aca="false">G321*H321*0.05</f>
        <v>3.0225</v>
      </c>
      <c r="J321" s="16" t="n">
        <f aca="false">G321*H321*1.05</f>
        <v>63.4725</v>
      </c>
      <c r="K321" s="17" t="n">
        <v>43494</v>
      </c>
      <c r="L321" s="14" t="s">
        <v>624</v>
      </c>
      <c r="M321" s="14" t="s">
        <v>26</v>
      </c>
      <c r="N321" s="16" t="n">
        <f aca="false">G321*H321</f>
        <v>60.45</v>
      </c>
      <c r="O321" s="18" t="n">
        <v>4.761904762</v>
      </c>
      <c r="P321" s="16" t="n">
        <f aca="false">I321</f>
        <v>3.0225</v>
      </c>
      <c r="Q321" s="19" t="n">
        <v>5.4</v>
      </c>
      <c r="R321" s="0" t="str">
        <f aca="false">TEXT(K321,"mmm yyyy")</f>
        <v>Jan 2019</v>
      </c>
      <c r="S321" s="14" t="n">
        <f aca="false">HOUR(TIMEVALUE(L321))</f>
        <v>19</v>
      </c>
      <c r="T321" s="0" t="str">
        <f aca="false">IF(S321&lt;12,"Morning",IF(S321&lt;17,"Afternoon","Evening"))</f>
        <v>Evening</v>
      </c>
      <c r="U321" s="16" t="n">
        <f aca="false">G321*H321*0.05</f>
        <v>3.0225</v>
      </c>
    </row>
    <row r="322" customFormat="false" ht="15" hidden="false" customHeight="false" outlineLevel="0" collapsed="false">
      <c r="A322" s="0" t="s">
        <v>625</v>
      </c>
      <c r="B322" s="0" t="s">
        <v>25</v>
      </c>
      <c r="C322" s="0" t="s">
        <v>68</v>
      </c>
      <c r="D322" s="0" t="s">
        <v>21</v>
      </c>
      <c r="E322" s="0" t="s">
        <v>60</v>
      </c>
      <c r="F322" s="0" t="s">
        <v>35</v>
      </c>
      <c r="G322" s="16" t="n">
        <v>69.82</v>
      </c>
      <c r="H322" s="0" t="n">
        <v>6</v>
      </c>
      <c r="I322" s="16" t="n">
        <f aca="false">G322*H322*0.05</f>
        <v>20.946</v>
      </c>
      <c r="J322" s="16" t="n">
        <f aca="false">G322*H322*1.05</f>
        <v>439.866</v>
      </c>
      <c r="K322" s="17" t="n">
        <v>43494</v>
      </c>
      <c r="L322" s="14" t="s">
        <v>626</v>
      </c>
      <c r="M322" s="14" t="s">
        <v>30</v>
      </c>
      <c r="N322" s="16" t="n">
        <f aca="false">G322*H322</f>
        <v>418.92</v>
      </c>
      <c r="O322" s="18" t="n">
        <v>4.761904762</v>
      </c>
      <c r="P322" s="16" t="n">
        <f aca="false">I322</f>
        <v>20.946</v>
      </c>
      <c r="Q322" s="19" t="n">
        <v>6.3</v>
      </c>
      <c r="R322" s="0" t="str">
        <f aca="false">TEXT(K322,"mmm yyyy")</f>
        <v>Jan 2019</v>
      </c>
      <c r="S322" s="14" t="n">
        <f aca="false">HOUR(TIMEVALUE(L322))</f>
        <v>14</v>
      </c>
      <c r="T322" s="0" t="str">
        <f aca="false">IF(S322&lt;12,"Morning",IF(S322&lt;17,"Afternoon","Evening"))</f>
        <v>Afternoon</v>
      </c>
      <c r="U322" s="16" t="n">
        <f aca="false">G322*H322*0.05</f>
        <v>20.946</v>
      </c>
    </row>
    <row r="323" customFormat="false" ht="15" hidden="false" customHeight="false" outlineLevel="0" collapsed="false">
      <c r="A323" s="0" t="s">
        <v>627</v>
      </c>
      <c r="B323" s="0" t="s">
        <v>25</v>
      </c>
      <c r="C323" s="0" t="s">
        <v>68</v>
      </c>
      <c r="D323" s="0" t="s">
        <v>21</v>
      </c>
      <c r="E323" s="0" t="s">
        <v>57</v>
      </c>
      <c r="F323" s="0" t="s">
        <v>35</v>
      </c>
      <c r="G323" s="16" t="n">
        <v>95.03</v>
      </c>
      <c r="H323" s="0" t="n">
        <v>6</v>
      </c>
      <c r="I323" s="16" t="n">
        <f aca="false">G323*H323*0.05</f>
        <v>28.509</v>
      </c>
      <c r="J323" s="16" t="n">
        <f aca="false">G323*H323*1.05</f>
        <v>598.689</v>
      </c>
      <c r="K323" s="17" t="n">
        <v>43495</v>
      </c>
      <c r="L323" s="14" t="s">
        <v>467</v>
      </c>
      <c r="M323" s="14" t="s">
        <v>30</v>
      </c>
      <c r="N323" s="16" t="n">
        <f aca="false">G323*H323</f>
        <v>570.18</v>
      </c>
      <c r="O323" s="18" t="n">
        <v>4.761904762</v>
      </c>
      <c r="P323" s="16" t="n">
        <f aca="false">I323</f>
        <v>28.509</v>
      </c>
      <c r="Q323" s="19" t="n">
        <v>9</v>
      </c>
      <c r="R323" s="0" t="str">
        <f aca="false">TEXT(K323,"mmm yyyy")</f>
        <v>Jan 2019</v>
      </c>
      <c r="S323" s="14" t="n">
        <f aca="false">HOUR(TIMEVALUE(L323))</f>
        <v>12</v>
      </c>
      <c r="T323" s="0" t="str">
        <f aca="false">IF(S323&lt;12,"Morning",IF(S323&lt;17,"Afternoon","Evening"))</f>
        <v>Afternoon</v>
      </c>
      <c r="U323" s="16" t="n">
        <f aca="false">G323*H323*0.05</f>
        <v>28.509</v>
      </c>
    </row>
    <row r="324" customFormat="false" ht="15" hidden="false" customHeight="false" outlineLevel="0" collapsed="false">
      <c r="A324" s="0" t="s">
        <v>628</v>
      </c>
      <c r="B324" s="0" t="s">
        <v>33</v>
      </c>
      <c r="C324" s="0" t="s">
        <v>65</v>
      </c>
      <c r="D324" s="0" t="s">
        <v>22</v>
      </c>
      <c r="E324" s="0" t="s">
        <v>60</v>
      </c>
      <c r="F324" s="0" t="s">
        <v>27</v>
      </c>
      <c r="G324" s="16" t="n">
        <v>81.78</v>
      </c>
      <c r="H324" s="0" t="n">
        <v>7</v>
      </c>
      <c r="I324" s="16" t="n">
        <f aca="false">G324*H324*0.05</f>
        <v>28.623</v>
      </c>
      <c r="J324" s="16" t="n">
        <f aca="false">G324*H324*1.05</f>
        <v>601.083</v>
      </c>
      <c r="K324" s="17" t="n">
        <v>43495</v>
      </c>
      <c r="L324" s="14" t="s">
        <v>629</v>
      </c>
      <c r="M324" s="14" t="s">
        <v>30</v>
      </c>
      <c r="N324" s="16" t="n">
        <f aca="false">G324*H324</f>
        <v>572.46</v>
      </c>
      <c r="O324" s="18" t="n">
        <v>4.761904762</v>
      </c>
      <c r="P324" s="16" t="n">
        <f aca="false">I324</f>
        <v>28.623</v>
      </c>
      <c r="Q324" s="19" t="n">
        <v>9.5</v>
      </c>
      <c r="R324" s="0" t="str">
        <f aca="false">TEXT(K324,"mmm yyyy")</f>
        <v>Jan 2019</v>
      </c>
      <c r="S324" s="14" t="n">
        <f aca="false">HOUR(TIMEVALUE(L324))</f>
        <v>16</v>
      </c>
      <c r="T324" s="0" t="str">
        <f aca="false">IF(S324&lt;12,"Morning",IF(S324&lt;17,"Afternoon","Evening"))</f>
        <v>Afternoon</v>
      </c>
      <c r="U324" s="16" t="n">
        <f aca="false">G324*H324*0.05</f>
        <v>28.623</v>
      </c>
    </row>
    <row r="325" customFormat="false" ht="15" hidden="false" customHeight="false" outlineLevel="0" collapsed="false">
      <c r="A325" s="0" t="s">
        <v>630</v>
      </c>
      <c r="B325" s="0" t="s">
        <v>29</v>
      </c>
      <c r="C325" s="0" t="s">
        <v>56</v>
      </c>
      <c r="D325" s="0" t="s">
        <v>22</v>
      </c>
      <c r="E325" s="0" t="s">
        <v>60</v>
      </c>
      <c r="F325" s="0" t="s">
        <v>23</v>
      </c>
      <c r="G325" s="16" t="n">
        <v>64.37</v>
      </c>
      <c r="H325" s="0" t="n">
        <v>3</v>
      </c>
      <c r="I325" s="16" t="n">
        <f aca="false">G325*H325*0.05</f>
        <v>9.6555</v>
      </c>
      <c r="J325" s="16" t="n">
        <f aca="false">G325*H325*1.05</f>
        <v>202.7655</v>
      </c>
      <c r="K325" s="17" t="n">
        <v>43495</v>
      </c>
      <c r="L325" s="14" t="s">
        <v>236</v>
      </c>
      <c r="M325" s="14" t="s">
        <v>34</v>
      </c>
      <c r="N325" s="16" t="n">
        <f aca="false">G325*H325</f>
        <v>193.11</v>
      </c>
      <c r="O325" s="18" t="n">
        <v>4.761904762</v>
      </c>
      <c r="P325" s="16" t="n">
        <f aca="false">I325</f>
        <v>9.6555</v>
      </c>
      <c r="Q325" s="19" t="n">
        <v>9.1</v>
      </c>
      <c r="R325" s="0" t="str">
        <f aca="false">TEXT(K325,"mmm yyyy")</f>
        <v>Jan 2019</v>
      </c>
      <c r="S325" s="14" t="n">
        <f aca="false">HOUR(TIMEVALUE(L325))</f>
        <v>17</v>
      </c>
      <c r="T325" s="0" t="str">
        <f aca="false">IF(S325&lt;12,"Morning",IF(S325&lt;17,"Afternoon","Evening"))</f>
        <v>Evening</v>
      </c>
      <c r="U325" s="16" t="n">
        <f aca="false">G325*H325*0.05</f>
        <v>9.6555</v>
      </c>
    </row>
    <row r="326" customFormat="false" ht="15" hidden="false" customHeight="false" outlineLevel="0" collapsed="false">
      <c r="A326" s="0" t="s">
        <v>631</v>
      </c>
      <c r="B326" s="0" t="s">
        <v>33</v>
      </c>
      <c r="C326" s="0" t="s">
        <v>65</v>
      </c>
      <c r="D326" s="0" t="s">
        <v>22</v>
      </c>
      <c r="E326" s="0" t="s">
        <v>57</v>
      </c>
      <c r="F326" s="0" t="s">
        <v>31</v>
      </c>
      <c r="G326" s="16" t="n">
        <v>12.89</v>
      </c>
      <c r="H326" s="0" t="n">
        <v>10</v>
      </c>
      <c r="I326" s="16" t="n">
        <f aca="false">G326*H326*0.05</f>
        <v>6.445</v>
      </c>
      <c r="J326" s="16" t="n">
        <f aca="false">G326*H326*1.05</f>
        <v>135.345</v>
      </c>
      <c r="K326" s="17" t="n">
        <v>43495</v>
      </c>
      <c r="L326" s="14" t="s">
        <v>632</v>
      </c>
      <c r="M326" s="14" t="s">
        <v>34</v>
      </c>
      <c r="N326" s="16" t="n">
        <f aca="false">G326*H326</f>
        <v>128.9</v>
      </c>
      <c r="O326" s="18" t="n">
        <v>4.761904762</v>
      </c>
      <c r="P326" s="16" t="n">
        <f aca="false">I326</f>
        <v>6.445</v>
      </c>
      <c r="Q326" s="19" t="n">
        <v>4.9</v>
      </c>
      <c r="R326" s="0" t="str">
        <f aca="false">TEXT(K326,"mmm yyyy")</f>
        <v>Jan 2019</v>
      </c>
      <c r="S326" s="14" t="n">
        <f aca="false">HOUR(TIMEVALUE(L326))</f>
        <v>12</v>
      </c>
      <c r="T326" s="0" t="str">
        <f aca="false">IF(S326&lt;12,"Morning",IF(S326&lt;17,"Afternoon","Evening"))</f>
        <v>Afternoon</v>
      </c>
      <c r="U326" s="16" t="n">
        <f aca="false">G326*H326*0.05</f>
        <v>6.445</v>
      </c>
    </row>
    <row r="327" customFormat="false" ht="15" hidden="false" customHeight="false" outlineLevel="0" collapsed="false">
      <c r="A327" s="0" t="s">
        <v>633</v>
      </c>
      <c r="B327" s="0" t="s">
        <v>33</v>
      </c>
      <c r="C327" s="0" t="s">
        <v>65</v>
      </c>
      <c r="D327" s="0" t="s">
        <v>21</v>
      </c>
      <c r="E327" s="0" t="s">
        <v>57</v>
      </c>
      <c r="F327" s="0" t="s">
        <v>37</v>
      </c>
      <c r="G327" s="16" t="n">
        <v>65.93</v>
      </c>
      <c r="H327" s="0" t="n">
        <v>8</v>
      </c>
      <c r="I327" s="16" t="n">
        <f aca="false">G327*H327*0.05</f>
        <v>26.372</v>
      </c>
      <c r="J327" s="16" t="n">
        <f aca="false">G327*H327*1.05</f>
        <v>553.812</v>
      </c>
      <c r="K327" s="17" t="n">
        <v>43495</v>
      </c>
      <c r="L327" s="14" t="s">
        <v>634</v>
      </c>
      <c r="M327" s="14" t="s">
        <v>34</v>
      </c>
      <c r="N327" s="16" t="n">
        <f aca="false">G327*H327</f>
        <v>527.44</v>
      </c>
      <c r="O327" s="18" t="n">
        <v>4.761904762</v>
      </c>
      <c r="P327" s="16" t="n">
        <f aca="false">I327</f>
        <v>26.372</v>
      </c>
      <c r="Q327" s="19" t="n">
        <v>9.3</v>
      </c>
      <c r="R327" s="0" t="str">
        <f aca="false">TEXT(K327,"mmm yyyy")</f>
        <v>Jan 2019</v>
      </c>
      <c r="S327" s="14" t="n">
        <f aca="false">HOUR(TIMEVALUE(L327))</f>
        <v>16</v>
      </c>
      <c r="T327" s="0" t="str">
        <f aca="false">IF(S327&lt;12,"Morning",IF(S327&lt;17,"Afternoon","Evening"))</f>
        <v>Afternoon</v>
      </c>
      <c r="U327" s="16" t="n">
        <f aca="false">G327*H327*0.05</f>
        <v>26.372</v>
      </c>
    </row>
    <row r="328" customFormat="false" ht="15" hidden="false" customHeight="false" outlineLevel="0" collapsed="false">
      <c r="A328" s="0" t="s">
        <v>635</v>
      </c>
      <c r="B328" s="0" t="s">
        <v>25</v>
      </c>
      <c r="C328" s="0" t="s">
        <v>68</v>
      </c>
      <c r="D328" s="0" t="s">
        <v>21</v>
      </c>
      <c r="E328" s="0" t="s">
        <v>57</v>
      </c>
      <c r="F328" s="0" t="s">
        <v>23</v>
      </c>
      <c r="G328" s="16" t="n">
        <v>50.24</v>
      </c>
      <c r="H328" s="0" t="n">
        <v>1</v>
      </c>
      <c r="I328" s="16" t="n">
        <f aca="false">G328*H328*0.05</f>
        <v>2.512</v>
      </c>
      <c r="J328" s="16" t="n">
        <f aca="false">G328*H328*1.05</f>
        <v>52.752</v>
      </c>
      <c r="K328" s="17" t="n">
        <v>43495</v>
      </c>
      <c r="L328" s="14" t="s">
        <v>636</v>
      </c>
      <c r="M328" s="14" t="s">
        <v>26</v>
      </c>
      <c r="N328" s="16" t="n">
        <f aca="false">G328*H328</f>
        <v>50.24</v>
      </c>
      <c r="O328" s="18" t="n">
        <v>4.761904762</v>
      </c>
      <c r="P328" s="16" t="n">
        <f aca="false">I328</f>
        <v>2.512</v>
      </c>
      <c r="Q328" s="19" t="n">
        <v>6.2</v>
      </c>
      <c r="R328" s="0" t="str">
        <f aca="false">TEXT(K328,"mmm yyyy")</f>
        <v>Jan 2019</v>
      </c>
      <c r="S328" s="14" t="n">
        <f aca="false">HOUR(TIMEVALUE(L328))</f>
        <v>14</v>
      </c>
      <c r="T328" s="0" t="str">
        <f aca="false">IF(S328&lt;12,"Morning",IF(S328&lt;17,"Afternoon","Evening"))</f>
        <v>Afternoon</v>
      </c>
      <c r="U328" s="16" t="n">
        <f aca="false">G328*H328*0.05</f>
        <v>2.512</v>
      </c>
    </row>
    <row r="329" customFormat="false" ht="15" hidden="false" customHeight="false" outlineLevel="0" collapsed="false">
      <c r="A329" s="0" t="s">
        <v>637</v>
      </c>
      <c r="B329" s="0" t="s">
        <v>33</v>
      </c>
      <c r="C329" s="0" t="s">
        <v>65</v>
      </c>
      <c r="D329" s="0" t="s">
        <v>22</v>
      </c>
      <c r="E329" s="0" t="s">
        <v>60</v>
      </c>
      <c r="F329" s="0" t="s">
        <v>27</v>
      </c>
      <c r="G329" s="16" t="n">
        <v>79.9</v>
      </c>
      <c r="H329" s="0" t="n">
        <v>8</v>
      </c>
      <c r="I329" s="16" t="n">
        <f aca="false">G329*H329*0.05</f>
        <v>31.96</v>
      </c>
      <c r="J329" s="16" t="n">
        <f aca="false">G329*H329*1.05</f>
        <v>671.16</v>
      </c>
      <c r="K329" s="17" t="n">
        <v>43495</v>
      </c>
      <c r="L329" s="14" t="s">
        <v>638</v>
      </c>
      <c r="M329" s="14" t="s">
        <v>34</v>
      </c>
      <c r="N329" s="16" t="n">
        <f aca="false">G329*H329</f>
        <v>639.2</v>
      </c>
      <c r="O329" s="18" t="n">
        <v>4.761904762</v>
      </c>
      <c r="P329" s="16" t="n">
        <f aca="false">I329</f>
        <v>31.96</v>
      </c>
      <c r="Q329" s="19" t="n">
        <v>5.7</v>
      </c>
      <c r="R329" s="0" t="str">
        <f aca="false">TEXT(K329,"mmm yyyy")</f>
        <v>Jan 2019</v>
      </c>
      <c r="S329" s="14" t="n">
        <f aca="false">HOUR(TIMEVALUE(L329))</f>
        <v>10</v>
      </c>
      <c r="T329" s="0" t="str">
        <f aca="false">IF(S329&lt;12,"Morning",IF(S329&lt;17,"Afternoon","Evening"))</f>
        <v>Morning</v>
      </c>
      <c r="U329" s="16" t="n">
        <f aca="false">G329*H329*0.05</f>
        <v>31.96</v>
      </c>
    </row>
    <row r="330" customFormat="false" ht="15" hidden="false" customHeight="false" outlineLevel="0" collapsed="false">
      <c r="A330" s="0" t="s">
        <v>639</v>
      </c>
      <c r="B330" s="0" t="s">
        <v>33</v>
      </c>
      <c r="C330" s="0" t="s">
        <v>65</v>
      </c>
      <c r="D330" s="0" t="s">
        <v>21</v>
      </c>
      <c r="E330" s="0" t="s">
        <v>60</v>
      </c>
      <c r="F330" s="0" t="s">
        <v>31</v>
      </c>
      <c r="G330" s="16" t="n">
        <v>73.8</v>
      </c>
      <c r="H330" s="0" t="n">
        <v>8</v>
      </c>
      <c r="I330" s="16" t="n">
        <f aca="false">G330*H330*0.05</f>
        <v>29.52</v>
      </c>
      <c r="J330" s="16" t="n">
        <f aca="false">G330*H330*1.05</f>
        <v>619.92</v>
      </c>
      <c r="K330" s="17" t="n">
        <v>43496</v>
      </c>
      <c r="L330" s="14" t="s">
        <v>160</v>
      </c>
      <c r="M330" s="14" t="s">
        <v>26</v>
      </c>
      <c r="N330" s="16" t="n">
        <f aca="false">G330*H330</f>
        <v>590.4</v>
      </c>
      <c r="O330" s="18" t="n">
        <v>4.761904762</v>
      </c>
      <c r="P330" s="16" t="n">
        <f aca="false">I330</f>
        <v>29.52</v>
      </c>
      <c r="Q330" s="19" t="n">
        <v>8.1</v>
      </c>
      <c r="R330" s="0" t="str">
        <f aca="false">TEXT(K330,"mmm yyyy")</f>
        <v>Jan 2019</v>
      </c>
      <c r="S330" s="14" t="n">
        <f aca="false">HOUR(TIMEVALUE(L330))</f>
        <v>10</v>
      </c>
      <c r="T330" s="0" t="str">
        <f aca="false">IF(S330&lt;12,"Morning",IF(S330&lt;17,"Afternoon","Evening"))</f>
        <v>Morning</v>
      </c>
      <c r="U330" s="16" t="n">
        <f aca="false">G330*H330*0.05</f>
        <v>29.52</v>
      </c>
    </row>
    <row r="331" customFormat="false" ht="15" hidden="false" customHeight="false" outlineLevel="0" collapsed="false">
      <c r="A331" s="0" t="s">
        <v>640</v>
      </c>
      <c r="B331" s="0" t="s">
        <v>25</v>
      </c>
      <c r="C331" s="0" t="s">
        <v>68</v>
      </c>
      <c r="D331" s="0" t="s">
        <v>22</v>
      </c>
      <c r="E331" s="0" t="s">
        <v>60</v>
      </c>
      <c r="F331" s="0" t="s">
        <v>27</v>
      </c>
      <c r="G331" s="16" t="n">
        <v>51.2</v>
      </c>
      <c r="H331" s="0" t="n">
        <v>1</v>
      </c>
      <c r="I331" s="16" t="n">
        <f aca="false">G331*H331*0.05</f>
        <v>2.56</v>
      </c>
      <c r="J331" s="16" t="n">
        <f aca="false">G331*H331*1.05</f>
        <v>53.76</v>
      </c>
      <c r="K331" s="17" t="n">
        <v>43496</v>
      </c>
      <c r="L331" s="14" t="s">
        <v>641</v>
      </c>
      <c r="M331" s="14" t="s">
        <v>34</v>
      </c>
      <c r="N331" s="16" t="n">
        <f aca="false">G331*H331</f>
        <v>51.2</v>
      </c>
      <c r="O331" s="18" t="n">
        <v>4.761904762</v>
      </c>
      <c r="P331" s="16" t="n">
        <f aca="false">I331</f>
        <v>2.56</v>
      </c>
      <c r="Q331" s="19" t="n">
        <v>4.3</v>
      </c>
      <c r="R331" s="0" t="str">
        <f aca="false">TEXT(K331,"mmm yyyy")</f>
        <v>Jan 2019</v>
      </c>
      <c r="S331" s="14" t="n">
        <f aca="false">HOUR(TIMEVALUE(L331))</f>
        <v>15</v>
      </c>
      <c r="T331" s="0" t="str">
        <f aca="false">IF(S331&lt;12,"Morning",IF(S331&lt;17,"Afternoon","Evening"))</f>
        <v>Afternoon</v>
      </c>
      <c r="U331" s="16" t="n">
        <f aca="false">G331*H331*0.05</f>
        <v>2.56</v>
      </c>
    </row>
    <row r="332" customFormat="false" ht="15" hidden="false" customHeight="false" outlineLevel="0" collapsed="false">
      <c r="A332" s="0" t="s">
        <v>642</v>
      </c>
      <c r="B332" s="0" t="s">
        <v>29</v>
      </c>
      <c r="C332" s="0" t="s">
        <v>56</v>
      </c>
      <c r="D332" s="0" t="s">
        <v>21</v>
      </c>
      <c r="E332" s="0" t="s">
        <v>60</v>
      </c>
      <c r="F332" s="0" t="s">
        <v>27</v>
      </c>
      <c r="G332" s="16" t="n">
        <v>14.4</v>
      </c>
      <c r="H332" s="0" t="n">
        <v>9</v>
      </c>
      <c r="I332" s="16" t="n">
        <f aca="false">G332*H332*0.05</f>
        <v>6.48</v>
      </c>
      <c r="J332" s="16" t="n">
        <f aca="false">G332*H332*1.05</f>
        <v>136.08</v>
      </c>
      <c r="K332" s="17" t="n">
        <v>43496</v>
      </c>
      <c r="L332" s="14" t="s">
        <v>583</v>
      </c>
      <c r="M332" s="14" t="s">
        <v>30</v>
      </c>
      <c r="N332" s="16" t="n">
        <f aca="false">G332*H332</f>
        <v>129.6</v>
      </c>
      <c r="O332" s="18" t="n">
        <v>4.761904762</v>
      </c>
      <c r="P332" s="16" t="n">
        <f aca="false">I332</f>
        <v>6.48</v>
      </c>
      <c r="Q332" s="19" t="n">
        <v>4.2</v>
      </c>
      <c r="R332" s="0" t="str">
        <f aca="false">TEXT(K332,"mmm yyyy")</f>
        <v>Jan 2019</v>
      </c>
      <c r="S332" s="14" t="n">
        <f aca="false">HOUR(TIMEVALUE(L332))</f>
        <v>19</v>
      </c>
      <c r="T332" s="0" t="str">
        <f aca="false">IF(S332&lt;12,"Morning",IF(S332&lt;17,"Afternoon","Evening"))</f>
        <v>Evening</v>
      </c>
      <c r="U332" s="16" t="n">
        <f aca="false">G332*H332*0.05</f>
        <v>6.48</v>
      </c>
    </row>
    <row r="333" customFormat="false" ht="15" hidden="false" customHeight="false" outlineLevel="0" collapsed="false">
      <c r="A333" s="0" t="s">
        <v>643</v>
      </c>
      <c r="B333" s="0" t="s">
        <v>25</v>
      </c>
      <c r="C333" s="0" t="s">
        <v>68</v>
      </c>
      <c r="D333" s="0" t="s">
        <v>22</v>
      </c>
      <c r="E333" s="0" t="s">
        <v>57</v>
      </c>
      <c r="F333" s="0" t="s">
        <v>31</v>
      </c>
      <c r="G333" s="16" t="n">
        <v>78.71</v>
      </c>
      <c r="H333" s="0" t="n">
        <v>5</v>
      </c>
      <c r="I333" s="16" t="n">
        <f aca="false">G333*H333*0.05</f>
        <v>19.6775</v>
      </c>
      <c r="J333" s="16" t="n">
        <f aca="false">G333*H333*1.05</f>
        <v>413.2275</v>
      </c>
      <c r="K333" s="17" t="n">
        <v>43496</v>
      </c>
      <c r="L333" s="14" t="s">
        <v>423</v>
      </c>
      <c r="M333" s="14" t="s">
        <v>30</v>
      </c>
      <c r="N333" s="16" t="n">
        <f aca="false">G333*H333</f>
        <v>393.55</v>
      </c>
      <c r="O333" s="18" t="n">
        <v>4.761904762</v>
      </c>
      <c r="P333" s="16" t="n">
        <f aca="false">I333</f>
        <v>19.6775</v>
      </c>
      <c r="Q333" s="19" t="n">
        <v>6.9</v>
      </c>
      <c r="R333" s="0" t="str">
        <f aca="false">TEXT(K333,"mmm yyyy")</f>
        <v>Jan 2019</v>
      </c>
      <c r="S333" s="14" t="n">
        <f aca="false">HOUR(TIMEVALUE(L333))</f>
        <v>19</v>
      </c>
      <c r="T333" s="0" t="str">
        <f aca="false">IF(S333&lt;12,"Morning",IF(S333&lt;17,"Afternoon","Evening"))</f>
        <v>Evening</v>
      </c>
      <c r="U333" s="16" t="n">
        <f aca="false">G333*H333*0.05</f>
        <v>19.6775</v>
      </c>
    </row>
    <row r="334" customFormat="false" ht="15" hidden="false" customHeight="false" outlineLevel="0" collapsed="false">
      <c r="A334" s="0" t="s">
        <v>644</v>
      </c>
      <c r="B334" s="0" t="s">
        <v>33</v>
      </c>
      <c r="C334" s="0" t="s">
        <v>65</v>
      </c>
      <c r="D334" s="0" t="s">
        <v>22</v>
      </c>
      <c r="E334" s="0" t="s">
        <v>57</v>
      </c>
      <c r="F334" s="0" t="s">
        <v>27</v>
      </c>
      <c r="G334" s="16" t="n">
        <v>85.45</v>
      </c>
      <c r="H334" s="0" t="n">
        <v>6</v>
      </c>
      <c r="I334" s="16" t="n">
        <f aca="false">G334*H334*0.05</f>
        <v>25.635</v>
      </c>
      <c r="J334" s="16" t="n">
        <f aca="false">G334*H334*1.05</f>
        <v>538.335</v>
      </c>
      <c r="K334" s="17" t="n">
        <v>43496</v>
      </c>
      <c r="L334" s="14" t="s">
        <v>645</v>
      </c>
      <c r="M334" s="14" t="s">
        <v>34</v>
      </c>
      <c r="N334" s="16" t="n">
        <f aca="false">G334*H334</f>
        <v>512.7</v>
      </c>
      <c r="O334" s="18" t="n">
        <v>4.761904762</v>
      </c>
      <c r="P334" s="16" t="n">
        <f aca="false">I334</f>
        <v>25.635</v>
      </c>
      <c r="Q334" s="19" t="n">
        <v>5.6</v>
      </c>
      <c r="R334" s="0" t="str">
        <f aca="false">TEXT(K334,"mmm yyyy")</f>
        <v>Jan 2019</v>
      </c>
      <c r="S334" s="14" t="n">
        <f aca="false">HOUR(TIMEVALUE(L334))</f>
        <v>12</v>
      </c>
      <c r="T334" s="0" t="str">
        <f aca="false">IF(S334&lt;12,"Morning",IF(S334&lt;17,"Afternoon","Evening"))</f>
        <v>Afternoon</v>
      </c>
      <c r="U334" s="16" t="n">
        <f aca="false">G334*H334*0.05</f>
        <v>25.635</v>
      </c>
    </row>
    <row r="335" customFormat="false" ht="15" hidden="false" customHeight="false" outlineLevel="0" collapsed="false">
      <c r="A335" s="0" t="s">
        <v>646</v>
      </c>
      <c r="B335" s="0" t="s">
        <v>33</v>
      </c>
      <c r="C335" s="0" t="s">
        <v>65</v>
      </c>
      <c r="D335" s="0" t="s">
        <v>22</v>
      </c>
      <c r="E335" s="0" t="s">
        <v>60</v>
      </c>
      <c r="F335" s="0" t="s">
        <v>35</v>
      </c>
      <c r="G335" s="16" t="n">
        <v>68.39</v>
      </c>
      <c r="H335" s="0" t="n">
        <v>6</v>
      </c>
      <c r="I335" s="16" t="n">
        <f aca="false">G335*H335*0.05</f>
        <v>20.517</v>
      </c>
      <c r="J335" s="16" t="n">
        <f aca="false">G335*H335*1.05</f>
        <v>430.857</v>
      </c>
      <c r="K335" s="17" t="n">
        <v>43496</v>
      </c>
      <c r="L335" s="14" t="s">
        <v>647</v>
      </c>
      <c r="M335" s="14" t="s">
        <v>26</v>
      </c>
      <c r="N335" s="16" t="n">
        <f aca="false">G335*H335</f>
        <v>410.34</v>
      </c>
      <c r="O335" s="18" t="n">
        <v>4.761904762</v>
      </c>
      <c r="P335" s="16" t="n">
        <f aca="false">I335</f>
        <v>20.517</v>
      </c>
      <c r="Q335" s="19" t="n">
        <v>8.3</v>
      </c>
      <c r="R335" s="0" t="str">
        <f aca="false">TEXT(K335,"mmm yyyy")</f>
        <v>Jan 2019</v>
      </c>
      <c r="S335" s="14" t="n">
        <f aca="false">HOUR(TIMEVALUE(L335))</f>
        <v>14</v>
      </c>
      <c r="T335" s="0" t="str">
        <f aca="false">IF(S335&lt;12,"Morning",IF(S335&lt;17,"Afternoon","Evening"))</f>
        <v>Afternoon</v>
      </c>
      <c r="U335" s="16" t="n">
        <f aca="false">G335*H335*0.05</f>
        <v>20.517</v>
      </c>
    </row>
    <row r="336" customFormat="false" ht="15" hidden="false" customHeight="false" outlineLevel="0" collapsed="false">
      <c r="A336" s="0" t="s">
        <v>648</v>
      </c>
      <c r="B336" s="0" t="s">
        <v>33</v>
      </c>
      <c r="C336" s="0" t="s">
        <v>65</v>
      </c>
      <c r="D336" s="0" t="s">
        <v>21</v>
      </c>
      <c r="E336" s="0" t="s">
        <v>57</v>
      </c>
      <c r="F336" s="0" t="s">
        <v>37</v>
      </c>
      <c r="G336" s="16" t="n">
        <v>59.14</v>
      </c>
      <c r="H336" s="0" t="n">
        <v>1</v>
      </c>
      <c r="I336" s="16" t="n">
        <f aca="false">G336*H336*0.05</f>
        <v>2.957</v>
      </c>
      <c r="J336" s="16" t="n">
        <f aca="false">G336*H336*1.05</f>
        <v>62.097</v>
      </c>
      <c r="K336" s="17" t="n">
        <v>43496</v>
      </c>
      <c r="L336" s="14" t="s">
        <v>649</v>
      </c>
      <c r="M336" s="14" t="s">
        <v>30</v>
      </c>
      <c r="N336" s="16" t="n">
        <f aca="false">G336*H336</f>
        <v>59.14</v>
      </c>
      <c r="O336" s="18" t="n">
        <v>4.761904762</v>
      </c>
      <c r="P336" s="16" t="n">
        <f aca="false">I336</f>
        <v>2.957</v>
      </c>
      <c r="Q336" s="19" t="n">
        <v>6</v>
      </c>
      <c r="R336" s="0" t="str">
        <f aca="false">TEXT(K336,"mmm yyyy")</f>
        <v>Jan 2019</v>
      </c>
      <c r="S336" s="14" t="n">
        <f aca="false">HOUR(TIMEVALUE(L336))</f>
        <v>17</v>
      </c>
      <c r="T336" s="0" t="str">
        <f aca="false">IF(S336&lt;12,"Morning",IF(S336&lt;17,"Afternoon","Evening"))</f>
        <v>Evening</v>
      </c>
      <c r="U336" s="16" t="n">
        <f aca="false">G336*H336*0.05</f>
        <v>2.957</v>
      </c>
    </row>
    <row r="337" customFormat="false" ht="15" hidden="false" customHeight="false" outlineLevel="0" collapsed="false">
      <c r="A337" s="0" t="s">
        <v>650</v>
      </c>
      <c r="B337" s="0" t="s">
        <v>33</v>
      </c>
      <c r="C337" s="0" t="s">
        <v>65</v>
      </c>
      <c r="D337" s="0" t="s">
        <v>21</v>
      </c>
      <c r="E337" s="0" t="s">
        <v>57</v>
      </c>
      <c r="F337" s="0" t="s">
        <v>31</v>
      </c>
      <c r="G337" s="16" t="n">
        <v>46.94</v>
      </c>
      <c r="H337" s="0" t="n">
        <v>8</v>
      </c>
      <c r="I337" s="16" t="n">
        <f aca="false">G337*H337*0.05</f>
        <v>18.776</v>
      </c>
      <c r="J337" s="16" t="n">
        <f aca="false">G337*H337*1.05</f>
        <v>394.296</v>
      </c>
      <c r="K337" s="17" t="n">
        <v>43496</v>
      </c>
      <c r="L337" s="14" t="s">
        <v>112</v>
      </c>
      <c r="M337" s="14" t="s">
        <v>30</v>
      </c>
      <c r="N337" s="16" t="n">
        <f aca="false">G337*H337</f>
        <v>375.52</v>
      </c>
      <c r="O337" s="18" t="n">
        <v>4.761904762</v>
      </c>
      <c r="P337" s="16" t="n">
        <f aca="false">I337</f>
        <v>18.776</v>
      </c>
      <c r="Q337" s="19" t="n">
        <v>6.6</v>
      </c>
      <c r="R337" s="0" t="str">
        <f aca="false">TEXT(K337,"mmm yyyy")</f>
        <v>Jan 2019</v>
      </c>
      <c r="S337" s="14" t="n">
        <f aca="false">HOUR(TIMEVALUE(L337))</f>
        <v>12</v>
      </c>
      <c r="T337" s="0" t="str">
        <f aca="false">IF(S337&lt;12,"Morning",IF(S337&lt;17,"Afternoon","Evening"))</f>
        <v>Afternoon</v>
      </c>
      <c r="U337" s="16" t="n">
        <f aca="false">G337*H337*0.05</f>
        <v>18.776</v>
      </c>
    </row>
    <row r="338" customFormat="false" ht="15" hidden="false" customHeight="false" outlineLevel="0" collapsed="false">
      <c r="A338" s="0" t="s">
        <v>651</v>
      </c>
      <c r="B338" s="0" t="s">
        <v>29</v>
      </c>
      <c r="C338" s="0" t="s">
        <v>56</v>
      </c>
      <c r="D338" s="0" t="s">
        <v>22</v>
      </c>
      <c r="E338" s="0" t="s">
        <v>57</v>
      </c>
      <c r="F338" s="0" t="s">
        <v>35</v>
      </c>
      <c r="G338" s="16" t="n">
        <v>68.85</v>
      </c>
      <c r="H338" s="0" t="n">
        <v>10</v>
      </c>
      <c r="I338" s="16" t="n">
        <f aca="false">G338*H338*0.05</f>
        <v>34.425</v>
      </c>
      <c r="J338" s="16" t="n">
        <f aca="false">G338*H338*1.05</f>
        <v>722.925</v>
      </c>
      <c r="K338" s="17" t="n">
        <v>43496</v>
      </c>
      <c r="L338" s="14" t="s">
        <v>652</v>
      </c>
      <c r="M338" s="14" t="s">
        <v>30</v>
      </c>
      <c r="N338" s="16" t="n">
        <f aca="false">G338*H338</f>
        <v>688.5</v>
      </c>
      <c r="O338" s="18" t="n">
        <v>4.761904762</v>
      </c>
      <c r="P338" s="16" t="n">
        <f aca="false">I338</f>
        <v>34.425</v>
      </c>
      <c r="Q338" s="19" t="n">
        <v>8.7</v>
      </c>
      <c r="R338" s="0" t="str">
        <f aca="false">TEXT(K338,"mmm yyyy")</f>
        <v>Jan 2019</v>
      </c>
      <c r="S338" s="14" t="n">
        <f aca="false">HOUR(TIMEVALUE(L338))</f>
        <v>20</v>
      </c>
      <c r="T338" s="0" t="str">
        <f aca="false">IF(S338&lt;12,"Morning",IF(S338&lt;17,"Afternoon","Evening"))</f>
        <v>Evening</v>
      </c>
      <c r="U338" s="16" t="n">
        <f aca="false">G338*H338*0.05</f>
        <v>34.425</v>
      </c>
    </row>
    <row r="339" customFormat="false" ht="15" hidden="false" customHeight="false" outlineLevel="0" collapsed="false">
      <c r="A339" s="0" t="s">
        <v>653</v>
      </c>
      <c r="B339" s="0" t="s">
        <v>25</v>
      </c>
      <c r="C339" s="0" t="s">
        <v>68</v>
      </c>
      <c r="D339" s="0" t="s">
        <v>21</v>
      </c>
      <c r="E339" s="0" t="s">
        <v>57</v>
      </c>
      <c r="F339" s="0" t="s">
        <v>31</v>
      </c>
      <c r="G339" s="16" t="n">
        <v>60.63</v>
      </c>
      <c r="H339" s="0" t="n">
        <v>4</v>
      </c>
      <c r="I339" s="16" t="n">
        <f aca="false">G339*H339*0.05</f>
        <v>12.126</v>
      </c>
      <c r="J339" s="16" t="n">
        <f aca="false">G339*H339*1.05</f>
        <v>254.646</v>
      </c>
      <c r="K339" s="17" t="n">
        <v>43496</v>
      </c>
      <c r="L339" s="14" t="s">
        <v>407</v>
      </c>
      <c r="M339" s="14" t="s">
        <v>34</v>
      </c>
      <c r="N339" s="16" t="n">
        <f aca="false">G339*H339</f>
        <v>242.52</v>
      </c>
      <c r="O339" s="18" t="n">
        <v>4.761904762</v>
      </c>
      <c r="P339" s="16" t="n">
        <f aca="false">I339</f>
        <v>12.126</v>
      </c>
      <c r="Q339" s="19" t="n">
        <v>5.4</v>
      </c>
      <c r="R339" s="0" t="str">
        <f aca="false">TEXT(K339,"mmm yyyy")</f>
        <v>Jan 2019</v>
      </c>
      <c r="S339" s="14" t="n">
        <f aca="false">HOUR(TIMEVALUE(L339))</f>
        <v>11</v>
      </c>
      <c r="T339" s="0" t="str">
        <f aca="false">IF(S339&lt;12,"Morning",IF(S339&lt;17,"Afternoon","Evening"))</f>
        <v>Morning</v>
      </c>
      <c r="U339" s="16" t="n">
        <f aca="false">G339*H339*0.05</f>
        <v>12.126</v>
      </c>
    </row>
    <row r="340" customFormat="false" ht="15" hidden="false" customHeight="false" outlineLevel="0" collapsed="false">
      <c r="A340" s="0" t="s">
        <v>654</v>
      </c>
      <c r="B340" s="0" t="s">
        <v>33</v>
      </c>
      <c r="C340" s="0" t="s">
        <v>65</v>
      </c>
      <c r="D340" s="0" t="s">
        <v>21</v>
      </c>
      <c r="E340" s="0" t="s">
        <v>57</v>
      </c>
      <c r="F340" s="0" t="s">
        <v>31</v>
      </c>
      <c r="G340" s="16" t="n">
        <v>58.86</v>
      </c>
      <c r="H340" s="0" t="n">
        <v>6</v>
      </c>
      <c r="I340" s="16" t="n">
        <f aca="false">G340*H340*0.05</f>
        <v>17.658</v>
      </c>
      <c r="J340" s="16" t="n">
        <f aca="false">G340*H340*1.05</f>
        <v>370.818</v>
      </c>
      <c r="K340" s="17" t="n">
        <v>43496</v>
      </c>
      <c r="L340" s="14" t="s">
        <v>655</v>
      </c>
      <c r="M340" s="14" t="s">
        <v>34</v>
      </c>
      <c r="N340" s="16" t="n">
        <f aca="false">G340*H340</f>
        <v>353.16</v>
      </c>
      <c r="O340" s="18" t="n">
        <v>4.761904762</v>
      </c>
      <c r="P340" s="16" t="n">
        <f aca="false">I340</f>
        <v>17.658</v>
      </c>
      <c r="Q340" s="19" t="n">
        <v>9.1</v>
      </c>
      <c r="R340" s="0" t="str">
        <f aca="false">TEXT(K340,"mmm yyyy")</f>
        <v>Jan 2019</v>
      </c>
      <c r="S340" s="14" t="n">
        <f aca="false">HOUR(TIMEVALUE(L340))</f>
        <v>13</v>
      </c>
      <c r="T340" s="0" t="str">
        <f aca="false">IF(S340&lt;12,"Morning",IF(S340&lt;17,"Afternoon","Evening"))</f>
        <v>Afternoon</v>
      </c>
      <c r="U340" s="16" t="n">
        <f aca="false">G340*H340*0.05</f>
        <v>17.658</v>
      </c>
    </row>
    <row r="341" customFormat="false" ht="15" hidden="false" customHeight="false" outlineLevel="0" collapsed="false">
      <c r="A341" s="0" t="s">
        <v>656</v>
      </c>
      <c r="B341" s="0" t="s">
        <v>29</v>
      </c>
      <c r="C341" s="0" t="s">
        <v>56</v>
      </c>
      <c r="D341" s="0" t="s">
        <v>22</v>
      </c>
      <c r="E341" s="0" t="s">
        <v>60</v>
      </c>
      <c r="F341" s="0" t="s">
        <v>37</v>
      </c>
      <c r="G341" s="16" t="n">
        <v>47.34</v>
      </c>
      <c r="H341" s="0" t="n">
        <v>10</v>
      </c>
      <c r="I341" s="16" t="n">
        <f aca="false">G341*H341*0.05</f>
        <v>23.67</v>
      </c>
      <c r="J341" s="16" t="n">
        <f aca="false">G341*H341*1.05</f>
        <v>497.07</v>
      </c>
      <c r="K341" s="17" t="n">
        <v>43496</v>
      </c>
      <c r="L341" s="14" t="s">
        <v>657</v>
      </c>
      <c r="M341" s="14" t="s">
        <v>34</v>
      </c>
      <c r="N341" s="16" t="n">
        <f aca="false">G341*H341</f>
        <v>473.4</v>
      </c>
      <c r="O341" s="18" t="n">
        <v>4.761904762</v>
      </c>
      <c r="P341" s="16" t="n">
        <f aca="false">I341</f>
        <v>23.67</v>
      </c>
      <c r="Q341" s="19" t="n">
        <v>9.2</v>
      </c>
      <c r="R341" s="0" t="str">
        <f aca="false">TEXT(K341,"mmm yyyy")</f>
        <v>Jan 2019</v>
      </c>
      <c r="S341" s="14" t="n">
        <f aca="false">HOUR(TIMEVALUE(L341))</f>
        <v>15</v>
      </c>
      <c r="T341" s="0" t="str">
        <f aca="false">IF(S341&lt;12,"Morning",IF(S341&lt;17,"Afternoon","Evening"))</f>
        <v>Afternoon</v>
      </c>
      <c r="U341" s="16" t="n">
        <f aca="false">G341*H341*0.05</f>
        <v>23.67</v>
      </c>
    </row>
    <row r="342" customFormat="false" ht="15" hidden="false" customHeight="false" outlineLevel="0" collapsed="false">
      <c r="A342" s="0" t="s">
        <v>658</v>
      </c>
      <c r="B342" s="0" t="s">
        <v>33</v>
      </c>
      <c r="C342" s="0" t="s">
        <v>65</v>
      </c>
      <c r="D342" s="0" t="s">
        <v>21</v>
      </c>
      <c r="E342" s="0" t="s">
        <v>60</v>
      </c>
      <c r="F342" s="0" t="s">
        <v>31</v>
      </c>
      <c r="G342" s="16" t="n">
        <v>89.37</v>
      </c>
      <c r="H342" s="0" t="n">
        <v>8</v>
      </c>
      <c r="I342" s="16" t="n">
        <f aca="false">G342*H342*0.05</f>
        <v>35.748</v>
      </c>
      <c r="J342" s="16" t="n">
        <f aca="false">G342*H342*1.05</f>
        <v>750.708</v>
      </c>
      <c r="K342" s="17" t="n">
        <v>43496</v>
      </c>
      <c r="L342" s="14" t="s">
        <v>192</v>
      </c>
      <c r="M342" s="14" t="s">
        <v>34</v>
      </c>
      <c r="N342" s="16" t="n">
        <f aca="false">G342*H342</f>
        <v>714.96</v>
      </c>
      <c r="O342" s="18" t="n">
        <v>4.761904762</v>
      </c>
      <c r="P342" s="16" t="n">
        <f aca="false">I342</f>
        <v>35.748</v>
      </c>
      <c r="Q342" s="19" t="n">
        <v>9.5</v>
      </c>
      <c r="R342" s="0" t="str">
        <f aca="false">TEXT(K342,"mmm yyyy")</f>
        <v>Jan 2019</v>
      </c>
      <c r="S342" s="14" t="n">
        <f aca="false">HOUR(TIMEVALUE(L342))</f>
        <v>13</v>
      </c>
      <c r="T342" s="0" t="str">
        <f aca="false">IF(S342&lt;12,"Morning",IF(S342&lt;17,"Afternoon","Evening"))</f>
        <v>Afternoon</v>
      </c>
      <c r="U342" s="16" t="n">
        <f aca="false">G342*H342*0.05</f>
        <v>35.748</v>
      </c>
    </row>
    <row r="343" customFormat="false" ht="15" hidden="false" customHeight="false" outlineLevel="0" collapsed="false">
      <c r="A343" s="0" t="s">
        <v>659</v>
      </c>
      <c r="B343" s="0" t="s">
        <v>25</v>
      </c>
      <c r="C343" s="0" t="s">
        <v>68</v>
      </c>
      <c r="D343" s="0" t="s">
        <v>21</v>
      </c>
      <c r="E343" s="0" t="s">
        <v>60</v>
      </c>
      <c r="F343" s="0" t="s">
        <v>36</v>
      </c>
      <c r="G343" s="16" t="n">
        <v>20.45</v>
      </c>
      <c r="H343" s="0" t="n">
        <v>6</v>
      </c>
      <c r="I343" s="16" t="n">
        <f aca="false">G343*H343*0.05</f>
        <v>6.135</v>
      </c>
      <c r="J343" s="16" t="n">
        <f aca="false">G343*H343*1.05</f>
        <v>128.835</v>
      </c>
      <c r="K343" s="17" t="n">
        <v>43496</v>
      </c>
      <c r="L343" s="14" t="s">
        <v>583</v>
      </c>
      <c r="M343" s="14" t="s">
        <v>30</v>
      </c>
      <c r="N343" s="16" t="n">
        <f aca="false">G343*H343</f>
        <v>122.7</v>
      </c>
      <c r="O343" s="18" t="n">
        <v>4.761904762</v>
      </c>
      <c r="P343" s="16" t="n">
        <f aca="false">I343</f>
        <v>6.135</v>
      </c>
      <c r="Q343" s="19" t="n">
        <v>6.2</v>
      </c>
      <c r="R343" s="0" t="str">
        <f aca="false">TEXT(K343,"mmm yyyy")</f>
        <v>Jan 2019</v>
      </c>
      <c r="S343" s="14" t="n">
        <f aca="false">HOUR(TIMEVALUE(L343))</f>
        <v>19</v>
      </c>
      <c r="T343" s="0" t="str">
        <f aca="false">IF(S343&lt;12,"Morning",IF(S343&lt;17,"Afternoon","Evening"))</f>
        <v>Evening</v>
      </c>
      <c r="U343" s="16" t="n">
        <f aca="false">G343*H343*0.05</f>
        <v>6.135</v>
      </c>
    </row>
    <row r="344" customFormat="false" ht="15" hidden="false" customHeight="false" outlineLevel="0" collapsed="false">
      <c r="A344" s="0" t="s">
        <v>660</v>
      </c>
      <c r="B344" s="0" t="s">
        <v>25</v>
      </c>
      <c r="C344" s="0" t="s">
        <v>68</v>
      </c>
      <c r="D344" s="0" t="s">
        <v>21</v>
      </c>
      <c r="E344" s="0" t="s">
        <v>57</v>
      </c>
      <c r="F344" s="0" t="s">
        <v>37</v>
      </c>
      <c r="G344" s="16" t="n">
        <v>69.94</v>
      </c>
      <c r="H344" s="0" t="n">
        <v>3</v>
      </c>
      <c r="I344" s="16" t="n">
        <f aca="false">G344*H344*0.05</f>
        <v>10.491</v>
      </c>
      <c r="J344" s="16" t="n">
        <f aca="false">G344*H344*1.05</f>
        <v>220.311</v>
      </c>
      <c r="K344" s="17" t="n">
        <v>43496</v>
      </c>
      <c r="L344" s="14" t="s">
        <v>401</v>
      </c>
      <c r="M344" s="14" t="s">
        <v>30</v>
      </c>
      <c r="N344" s="16" t="n">
        <f aca="false">G344*H344</f>
        <v>209.82</v>
      </c>
      <c r="O344" s="18" t="n">
        <v>4.761904762</v>
      </c>
      <c r="P344" s="16" t="n">
        <f aca="false">I344</f>
        <v>10.491</v>
      </c>
      <c r="Q344" s="19" t="n">
        <v>6.2</v>
      </c>
      <c r="R344" s="0" t="str">
        <f aca="false">TEXT(K344,"mmm yyyy")</f>
        <v>Jan 2019</v>
      </c>
      <c r="S344" s="14" t="n">
        <f aca="false">HOUR(TIMEVALUE(L344))</f>
        <v>16</v>
      </c>
      <c r="T344" s="0" t="str">
        <f aca="false">IF(S344&lt;12,"Morning",IF(S344&lt;17,"Afternoon","Evening"))</f>
        <v>Afternoon</v>
      </c>
      <c r="U344" s="16" t="n">
        <f aca="false">G344*H344*0.05</f>
        <v>10.491</v>
      </c>
    </row>
    <row r="345" customFormat="false" ht="15" hidden="false" customHeight="false" outlineLevel="0" collapsed="false">
      <c r="A345" s="0" t="s">
        <v>661</v>
      </c>
      <c r="B345" s="0" t="s">
        <v>29</v>
      </c>
      <c r="C345" s="0" t="s">
        <v>56</v>
      </c>
      <c r="D345" s="0" t="s">
        <v>22</v>
      </c>
      <c r="E345" s="0" t="s">
        <v>60</v>
      </c>
      <c r="F345" s="0" t="s">
        <v>23</v>
      </c>
      <c r="G345" s="16" t="n">
        <v>67.89</v>
      </c>
      <c r="H345" s="0" t="n">
        <v>2</v>
      </c>
      <c r="I345" s="16" t="n">
        <f aca="false">G345*H345*0.05</f>
        <v>6.789</v>
      </c>
      <c r="J345" s="16" t="n">
        <f aca="false">G345*H345*1.05</f>
        <v>142.569</v>
      </c>
      <c r="K345" s="17" t="n">
        <v>43496</v>
      </c>
      <c r="L345" s="14" t="s">
        <v>662</v>
      </c>
      <c r="M345" s="14" t="s">
        <v>30</v>
      </c>
      <c r="N345" s="16" t="n">
        <f aca="false">G345*H345</f>
        <v>135.78</v>
      </c>
      <c r="O345" s="18" t="n">
        <v>4.761904762</v>
      </c>
      <c r="P345" s="16" t="n">
        <f aca="false">I345</f>
        <v>6.789</v>
      </c>
      <c r="Q345" s="19" t="n">
        <v>6.3</v>
      </c>
      <c r="R345" s="0" t="str">
        <f aca="false">TEXT(K345,"mmm yyyy")</f>
        <v>Jan 2019</v>
      </c>
      <c r="S345" s="14" t="n">
        <f aca="false">HOUR(TIMEVALUE(L345))</f>
        <v>13</v>
      </c>
      <c r="T345" s="0" t="str">
        <f aca="false">IF(S345&lt;12,"Morning",IF(S345&lt;17,"Afternoon","Evening"))</f>
        <v>Afternoon</v>
      </c>
      <c r="U345" s="16" t="n">
        <f aca="false">G345*H345*0.05</f>
        <v>6.789</v>
      </c>
    </row>
    <row r="346" customFormat="false" ht="15" hidden="false" customHeight="false" outlineLevel="0" collapsed="false">
      <c r="A346" s="0" t="s">
        <v>663</v>
      </c>
      <c r="B346" s="0" t="s">
        <v>33</v>
      </c>
      <c r="C346" s="0" t="s">
        <v>65</v>
      </c>
      <c r="D346" s="0" t="s">
        <v>22</v>
      </c>
      <c r="E346" s="0" t="s">
        <v>57</v>
      </c>
      <c r="F346" s="0" t="s">
        <v>23</v>
      </c>
      <c r="G346" s="16" t="n">
        <v>32.02</v>
      </c>
      <c r="H346" s="0" t="n">
        <v>6</v>
      </c>
      <c r="I346" s="16" t="n">
        <f aca="false">G346*H346*0.05</f>
        <v>9.606</v>
      </c>
      <c r="J346" s="16" t="n">
        <f aca="false">G346*H346*1.05</f>
        <v>201.726</v>
      </c>
      <c r="K346" s="17" t="n">
        <v>43496</v>
      </c>
      <c r="L346" s="14" t="s">
        <v>664</v>
      </c>
      <c r="M346" s="14" t="s">
        <v>26</v>
      </c>
      <c r="N346" s="16" t="n">
        <f aca="false">G346*H346</f>
        <v>192.12</v>
      </c>
      <c r="O346" s="18" t="n">
        <v>4.761904762</v>
      </c>
      <c r="P346" s="16" t="n">
        <f aca="false">I346</f>
        <v>9.606</v>
      </c>
      <c r="Q346" s="19" t="n">
        <v>9.1</v>
      </c>
      <c r="R346" s="0" t="str">
        <f aca="false">TEXT(K346,"mmm yyyy")</f>
        <v>Jan 2019</v>
      </c>
      <c r="S346" s="14" t="n">
        <f aca="false">HOUR(TIMEVALUE(L346))</f>
        <v>10</v>
      </c>
      <c r="T346" s="0" t="str">
        <f aca="false">IF(S346&lt;12,"Morning",IF(S346&lt;17,"Afternoon","Evening"))</f>
        <v>Morning</v>
      </c>
      <c r="U346" s="16" t="n">
        <f aca="false">G346*H346*0.05</f>
        <v>9.606</v>
      </c>
    </row>
    <row r="347" customFormat="false" ht="15" hidden="false" customHeight="false" outlineLevel="0" collapsed="false">
      <c r="A347" s="0" t="s">
        <v>665</v>
      </c>
      <c r="B347" s="0" t="s">
        <v>29</v>
      </c>
      <c r="C347" s="0" t="s">
        <v>56</v>
      </c>
      <c r="D347" s="0" t="s">
        <v>21</v>
      </c>
      <c r="E347" s="0" t="s">
        <v>57</v>
      </c>
      <c r="F347" s="0" t="s">
        <v>23</v>
      </c>
      <c r="G347" s="16" t="n">
        <v>44.91</v>
      </c>
      <c r="H347" s="0" t="n">
        <v>3</v>
      </c>
      <c r="I347" s="16" t="n">
        <f aca="false">G347*H347*0.05</f>
        <v>6.7365</v>
      </c>
      <c r="J347" s="16" t="n">
        <f aca="false">G347*H347*1.05</f>
        <v>141.4665</v>
      </c>
      <c r="K347" s="17" t="n">
        <v>43496</v>
      </c>
      <c r="L347" s="14" t="s">
        <v>666</v>
      </c>
      <c r="M347" s="14" t="s">
        <v>30</v>
      </c>
      <c r="N347" s="16" t="n">
        <f aca="false">G347*H347</f>
        <v>134.73</v>
      </c>
      <c r="O347" s="18" t="n">
        <v>4.761904762</v>
      </c>
      <c r="P347" s="16" t="n">
        <f aca="false">I347</f>
        <v>6.7365</v>
      </c>
      <c r="Q347" s="19" t="n">
        <v>7.4</v>
      </c>
      <c r="R347" s="0" t="str">
        <f aca="false">TEXT(K347,"mmm yyyy")</f>
        <v>Jan 2019</v>
      </c>
      <c r="S347" s="14" t="n">
        <f aca="false">HOUR(TIMEVALUE(L347))</f>
        <v>19</v>
      </c>
      <c r="T347" s="0" t="str">
        <f aca="false">IF(S347&lt;12,"Morning",IF(S347&lt;17,"Afternoon","Evening"))</f>
        <v>Evening</v>
      </c>
      <c r="U347" s="16" t="n">
        <f aca="false">G347*H347*0.05</f>
        <v>6.7365</v>
      </c>
    </row>
    <row r="348" customFormat="false" ht="15" hidden="false" customHeight="false" outlineLevel="0" collapsed="false">
      <c r="A348" s="0" t="s">
        <v>667</v>
      </c>
      <c r="B348" s="0" t="s">
        <v>25</v>
      </c>
      <c r="C348" s="0" t="s">
        <v>68</v>
      </c>
      <c r="D348" s="0" t="s">
        <v>21</v>
      </c>
      <c r="E348" s="0" t="s">
        <v>57</v>
      </c>
      <c r="F348" s="0" t="s">
        <v>36</v>
      </c>
      <c r="G348" s="16" t="n">
        <v>78.25</v>
      </c>
      <c r="H348" s="0" t="n">
        <v>4</v>
      </c>
      <c r="I348" s="16" t="n">
        <f aca="false">G348*H348*0.05</f>
        <v>15.65</v>
      </c>
      <c r="J348" s="16" t="n">
        <f aca="false">G348*H348*1.05</f>
        <v>328.65</v>
      </c>
      <c r="K348" s="17" t="n">
        <v>43497</v>
      </c>
      <c r="L348" s="14" t="s">
        <v>522</v>
      </c>
      <c r="M348" s="14" t="s">
        <v>34</v>
      </c>
      <c r="N348" s="16" t="n">
        <f aca="false">G348*H348</f>
        <v>313</v>
      </c>
      <c r="O348" s="18" t="n">
        <v>4.761904762</v>
      </c>
      <c r="P348" s="16" t="n">
        <f aca="false">I348</f>
        <v>15.65</v>
      </c>
      <c r="Q348" s="19" t="n">
        <v>6.3</v>
      </c>
      <c r="R348" s="0" t="str">
        <f aca="false">TEXT(K348,"mmm yyyy")</f>
        <v>Feb 2019</v>
      </c>
      <c r="S348" s="14" t="n">
        <f aca="false">HOUR(TIMEVALUE(L348))</f>
        <v>20</v>
      </c>
      <c r="T348" s="0" t="str">
        <f aca="false">IF(S348&lt;12,"Morning",IF(S348&lt;17,"Afternoon","Evening"))</f>
        <v>Evening</v>
      </c>
      <c r="U348" s="16" t="n">
        <f aca="false">G348*H348*0.05</f>
        <v>15.65</v>
      </c>
    </row>
    <row r="349" customFormat="false" ht="15" hidden="false" customHeight="false" outlineLevel="0" collapsed="false">
      <c r="A349" s="0" t="s">
        <v>668</v>
      </c>
      <c r="B349" s="0" t="s">
        <v>33</v>
      </c>
      <c r="C349" s="0" t="s">
        <v>65</v>
      </c>
      <c r="D349" s="0" t="s">
        <v>21</v>
      </c>
      <c r="E349" s="0" t="s">
        <v>57</v>
      </c>
      <c r="F349" s="0" t="s">
        <v>35</v>
      </c>
      <c r="G349" s="16" t="n">
        <v>37.3</v>
      </c>
      <c r="H349" s="0" t="n">
        <v>7</v>
      </c>
      <c r="I349" s="16" t="n">
        <f aca="false">G349*H349*0.05</f>
        <v>13.055</v>
      </c>
      <c r="J349" s="16" t="n">
        <f aca="false">G349*H349*1.05</f>
        <v>274.155</v>
      </c>
      <c r="K349" s="17" t="n">
        <v>43497</v>
      </c>
      <c r="L349" s="14" t="s">
        <v>242</v>
      </c>
      <c r="M349" s="14" t="s">
        <v>30</v>
      </c>
      <c r="N349" s="16" t="n">
        <f aca="false">G349*H349</f>
        <v>261.1</v>
      </c>
      <c r="O349" s="18" t="n">
        <v>4.761904762</v>
      </c>
      <c r="P349" s="16" t="n">
        <f aca="false">I349</f>
        <v>13.055</v>
      </c>
      <c r="Q349" s="19" t="n">
        <v>4.1</v>
      </c>
      <c r="R349" s="0" t="str">
        <f aca="false">TEXT(K349,"mmm yyyy")</f>
        <v>Feb 2019</v>
      </c>
      <c r="S349" s="14" t="n">
        <f aca="false">HOUR(TIMEVALUE(L349))</f>
        <v>11</v>
      </c>
      <c r="T349" s="0" t="str">
        <f aca="false">IF(S349&lt;12,"Morning",IF(S349&lt;17,"Afternoon","Evening"))</f>
        <v>Morning</v>
      </c>
      <c r="U349" s="16" t="n">
        <f aca="false">G349*H349*0.05</f>
        <v>13.055</v>
      </c>
    </row>
    <row r="350" customFormat="false" ht="15" hidden="false" customHeight="false" outlineLevel="0" collapsed="false">
      <c r="A350" s="0" t="s">
        <v>669</v>
      </c>
      <c r="B350" s="0" t="s">
        <v>25</v>
      </c>
      <c r="C350" s="0" t="s">
        <v>68</v>
      </c>
      <c r="D350" s="0" t="s">
        <v>21</v>
      </c>
      <c r="E350" s="0" t="s">
        <v>57</v>
      </c>
      <c r="F350" s="0" t="s">
        <v>37</v>
      </c>
      <c r="G350" s="16" t="n">
        <v>26.99</v>
      </c>
      <c r="H350" s="0" t="n">
        <v>9</v>
      </c>
      <c r="I350" s="16" t="n">
        <f aca="false">G350*H350*0.05</f>
        <v>12.1455</v>
      </c>
      <c r="J350" s="16" t="n">
        <f aca="false">G350*H350*1.05</f>
        <v>255.0555</v>
      </c>
      <c r="K350" s="17" t="n">
        <v>43497</v>
      </c>
      <c r="L350" s="14" t="s">
        <v>459</v>
      </c>
      <c r="M350" s="14" t="s">
        <v>26</v>
      </c>
      <c r="N350" s="16" t="n">
        <f aca="false">G350*H350</f>
        <v>242.91</v>
      </c>
      <c r="O350" s="18" t="n">
        <v>4.761904762</v>
      </c>
      <c r="P350" s="16" t="n">
        <f aca="false">I350</f>
        <v>12.1455</v>
      </c>
      <c r="Q350" s="19" t="n">
        <v>9</v>
      </c>
      <c r="R350" s="0" t="str">
        <f aca="false">TEXT(K350,"mmm yyyy")</f>
        <v>Feb 2019</v>
      </c>
      <c r="S350" s="14" t="n">
        <f aca="false">HOUR(TIMEVALUE(L350))</f>
        <v>20</v>
      </c>
      <c r="T350" s="0" t="str">
        <f aca="false">IF(S350&lt;12,"Morning",IF(S350&lt;17,"Afternoon","Evening"))</f>
        <v>Evening</v>
      </c>
      <c r="U350" s="16" t="n">
        <f aca="false">G350*H350*0.05</f>
        <v>12.1455</v>
      </c>
    </row>
    <row r="351" customFormat="false" ht="15" hidden="false" customHeight="false" outlineLevel="0" collapsed="false">
      <c r="A351" s="0" t="s">
        <v>670</v>
      </c>
      <c r="B351" s="0" t="s">
        <v>33</v>
      </c>
      <c r="C351" s="0" t="s">
        <v>65</v>
      </c>
      <c r="D351" s="0" t="s">
        <v>21</v>
      </c>
      <c r="E351" s="0" t="s">
        <v>57</v>
      </c>
      <c r="F351" s="0" t="s">
        <v>31</v>
      </c>
      <c r="G351" s="16" t="n">
        <v>40.37</v>
      </c>
      <c r="H351" s="0" t="n">
        <v>10</v>
      </c>
      <c r="I351" s="16" t="n">
        <f aca="false">G351*H351*0.05</f>
        <v>20.185</v>
      </c>
      <c r="J351" s="16" t="n">
        <f aca="false">G351*H351*1.05</f>
        <v>423.885</v>
      </c>
      <c r="K351" s="17" t="n">
        <v>43497</v>
      </c>
      <c r="L351" s="14" t="s">
        <v>384</v>
      </c>
      <c r="M351" s="14" t="s">
        <v>30</v>
      </c>
      <c r="N351" s="16" t="n">
        <f aca="false">G351*H351</f>
        <v>403.7</v>
      </c>
      <c r="O351" s="18" t="n">
        <v>4.761904762</v>
      </c>
      <c r="P351" s="16" t="n">
        <f aca="false">I351</f>
        <v>20.185</v>
      </c>
      <c r="Q351" s="19" t="n">
        <v>6.7</v>
      </c>
      <c r="R351" s="0" t="str">
        <f aca="false">TEXT(K351,"mmm yyyy")</f>
        <v>Feb 2019</v>
      </c>
      <c r="S351" s="14" t="n">
        <f aca="false">HOUR(TIMEVALUE(L351))</f>
        <v>11</v>
      </c>
      <c r="T351" s="0" t="str">
        <f aca="false">IF(S351&lt;12,"Morning",IF(S351&lt;17,"Afternoon","Evening"))</f>
        <v>Morning</v>
      </c>
      <c r="U351" s="16" t="n">
        <f aca="false">G351*H351*0.05</f>
        <v>20.185</v>
      </c>
    </row>
    <row r="352" customFormat="false" ht="15" hidden="false" customHeight="false" outlineLevel="0" collapsed="false">
      <c r="A352" s="0" t="s">
        <v>671</v>
      </c>
      <c r="B352" s="0" t="s">
        <v>25</v>
      </c>
      <c r="C352" s="0" t="s">
        <v>68</v>
      </c>
      <c r="D352" s="0" t="s">
        <v>22</v>
      </c>
      <c r="E352" s="0" t="s">
        <v>60</v>
      </c>
      <c r="F352" s="0" t="s">
        <v>35</v>
      </c>
      <c r="G352" s="16" t="n">
        <v>77.15</v>
      </c>
      <c r="H352" s="0" t="n">
        <v>4</v>
      </c>
      <c r="I352" s="16" t="n">
        <f aca="false">G352*H352*0.05</f>
        <v>15.43</v>
      </c>
      <c r="J352" s="16" t="n">
        <f aca="false">G352*H352*1.05</f>
        <v>324.03</v>
      </c>
      <c r="K352" s="17" t="n">
        <v>43497</v>
      </c>
      <c r="L352" s="14" t="s">
        <v>172</v>
      </c>
      <c r="M352" s="14" t="s">
        <v>26</v>
      </c>
      <c r="N352" s="16" t="n">
        <f aca="false">G352*H352</f>
        <v>308.6</v>
      </c>
      <c r="O352" s="18" t="n">
        <v>4.761904762</v>
      </c>
      <c r="P352" s="16" t="n">
        <f aca="false">I352</f>
        <v>15.43</v>
      </c>
      <c r="Q352" s="19" t="n">
        <v>4.3</v>
      </c>
      <c r="R352" s="0" t="str">
        <f aca="false">TEXT(K352,"mmm yyyy")</f>
        <v>Feb 2019</v>
      </c>
      <c r="S352" s="14" t="n">
        <f aca="false">HOUR(TIMEVALUE(L352))</f>
        <v>14</v>
      </c>
      <c r="T352" s="0" t="str">
        <f aca="false">IF(S352&lt;12,"Morning",IF(S352&lt;17,"Afternoon","Evening"))</f>
        <v>Afternoon</v>
      </c>
      <c r="U352" s="16" t="n">
        <f aca="false">G352*H352*0.05</f>
        <v>15.43</v>
      </c>
    </row>
    <row r="353" customFormat="false" ht="15" hidden="false" customHeight="false" outlineLevel="0" collapsed="false">
      <c r="A353" s="0" t="s">
        <v>672</v>
      </c>
      <c r="B353" s="0" t="s">
        <v>29</v>
      </c>
      <c r="C353" s="0" t="s">
        <v>56</v>
      </c>
      <c r="D353" s="0" t="s">
        <v>21</v>
      </c>
      <c r="E353" s="0" t="s">
        <v>60</v>
      </c>
      <c r="F353" s="0" t="s">
        <v>35</v>
      </c>
      <c r="G353" s="16" t="n">
        <v>46.21</v>
      </c>
      <c r="H353" s="0" t="n">
        <v>4</v>
      </c>
      <c r="I353" s="16" t="n">
        <f aca="false">G353*H353*0.05</f>
        <v>9.242</v>
      </c>
      <c r="J353" s="16" t="n">
        <f aca="false">G353*H353*1.05</f>
        <v>194.082</v>
      </c>
      <c r="K353" s="17" t="n">
        <v>43497</v>
      </c>
      <c r="L353" s="14" t="s">
        <v>184</v>
      </c>
      <c r="M353" s="14" t="s">
        <v>30</v>
      </c>
      <c r="N353" s="16" t="n">
        <f aca="false">G353*H353</f>
        <v>184.84</v>
      </c>
      <c r="O353" s="18" t="n">
        <v>4.761904762</v>
      </c>
      <c r="P353" s="16" t="n">
        <f aca="false">I353</f>
        <v>9.242</v>
      </c>
      <c r="Q353" s="19" t="n">
        <v>8.4</v>
      </c>
      <c r="R353" s="0" t="str">
        <f aca="false">TEXT(K353,"mmm yyyy")</f>
        <v>Feb 2019</v>
      </c>
      <c r="S353" s="14" t="n">
        <f aca="false">HOUR(TIMEVALUE(L353))</f>
        <v>19</v>
      </c>
      <c r="T353" s="0" t="str">
        <f aca="false">IF(S353&lt;12,"Morning",IF(S353&lt;17,"Afternoon","Evening"))</f>
        <v>Evening</v>
      </c>
      <c r="U353" s="16" t="n">
        <f aca="false">G353*H353*0.05</f>
        <v>9.242</v>
      </c>
    </row>
    <row r="354" customFormat="false" ht="15" hidden="false" customHeight="false" outlineLevel="0" collapsed="false">
      <c r="A354" s="0" t="s">
        <v>673</v>
      </c>
      <c r="B354" s="0" t="s">
        <v>29</v>
      </c>
      <c r="C354" s="0" t="s">
        <v>56</v>
      </c>
      <c r="D354" s="0" t="s">
        <v>22</v>
      </c>
      <c r="E354" s="0" t="s">
        <v>60</v>
      </c>
      <c r="F354" s="0" t="s">
        <v>36</v>
      </c>
      <c r="G354" s="16" t="n">
        <v>94.15</v>
      </c>
      <c r="H354" s="0" t="n">
        <v>5</v>
      </c>
      <c r="I354" s="16" t="n">
        <f aca="false">G354*H354*0.05</f>
        <v>23.5375</v>
      </c>
      <c r="J354" s="16" t="n">
        <f aca="false">G354*H354*1.05</f>
        <v>494.2875</v>
      </c>
      <c r="K354" s="17" t="n">
        <v>43497</v>
      </c>
      <c r="L354" s="14" t="s">
        <v>95</v>
      </c>
      <c r="M354" s="14" t="s">
        <v>30</v>
      </c>
      <c r="N354" s="16" t="n">
        <f aca="false">G354*H354</f>
        <v>470.75</v>
      </c>
      <c r="O354" s="18" t="n">
        <v>4.761904762</v>
      </c>
      <c r="P354" s="16" t="n">
        <f aca="false">I354</f>
        <v>23.5375</v>
      </c>
      <c r="Q354" s="19" t="n">
        <v>6</v>
      </c>
      <c r="R354" s="0" t="str">
        <f aca="false">TEXT(K354,"mmm yyyy")</f>
        <v>Feb 2019</v>
      </c>
      <c r="S354" s="14" t="n">
        <f aca="false">HOUR(TIMEVALUE(L354))</f>
        <v>19</v>
      </c>
      <c r="T354" s="0" t="str">
        <f aca="false">IF(S354&lt;12,"Morning",IF(S354&lt;17,"Afternoon","Evening"))</f>
        <v>Evening</v>
      </c>
      <c r="U354" s="16" t="n">
        <f aca="false">G354*H354*0.05</f>
        <v>23.5375</v>
      </c>
    </row>
    <row r="355" customFormat="false" ht="15" hidden="false" customHeight="false" outlineLevel="0" collapsed="false">
      <c r="A355" s="0" t="s">
        <v>674</v>
      </c>
      <c r="B355" s="0" t="s">
        <v>25</v>
      </c>
      <c r="C355" s="0" t="s">
        <v>68</v>
      </c>
      <c r="D355" s="0" t="s">
        <v>21</v>
      </c>
      <c r="E355" s="0" t="s">
        <v>60</v>
      </c>
      <c r="F355" s="0" t="s">
        <v>27</v>
      </c>
      <c r="G355" s="16" t="n">
        <v>90.84</v>
      </c>
      <c r="H355" s="0" t="n">
        <v>2</v>
      </c>
      <c r="I355" s="16" t="n">
        <f aca="false">G355*H355*0.05</f>
        <v>9.084</v>
      </c>
      <c r="J355" s="16" t="n">
        <f aca="false">G355*H355*1.05</f>
        <v>190.764</v>
      </c>
      <c r="K355" s="17" t="n">
        <v>43497</v>
      </c>
      <c r="L355" s="14" t="s">
        <v>675</v>
      </c>
      <c r="M355" s="14" t="s">
        <v>26</v>
      </c>
      <c r="N355" s="16" t="n">
        <f aca="false">G355*H355</f>
        <v>181.68</v>
      </c>
      <c r="O355" s="18" t="n">
        <v>4.761904762</v>
      </c>
      <c r="P355" s="16" t="n">
        <f aca="false">I355</f>
        <v>9.084</v>
      </c>
      <c r="Q355" s="19" t="n">
        <v>7.6</v>
      </c>
      <c r="R355" s="0" t="str">
        <f aca="false">TEXT(K355,"mmm yyyy")</f>
        <v>Feb 2019</v>
      </c>
      <c r="S355" s="14" t="n">
        <f aca="false">HOUR(TIMEVALUE(L355))</f>
        <v>12</v>
      </c>
      <c r="T355" s="0" t="str">
        <f aca="false">IF(S355&lt;12,"Morning",IF(S355&lt;17,"Afternoon","Evening"))</f>
        <v>Afternoon</v>
      </c>
      <c r="U355" s="16" t="n">
        <f aca="false">G355*H355*0.05</f>
        <v>9.084</v>
      </c>
    </row>
    <row r="356" customFormat="false" ht="15" hidden="false" customHeight="false" outlineLevel="0" collapsed="false">
      <c r="A356" s="0" t="s">
        <v>676</v>
      </c>
      <c r="B356" s="0" t="s">
        <v>29</v>
      </c>
      <c r="C356" s="0" t="s">
        <v>56</v>
      </c>
      <c r="D356" s="0" t="s">
        <v>21</v>
      </c>
      <c r="E356" s="0" t="s">
        <v>60</v>
      </c>
      <c r="F356" s="0" t="s">
        <v>37</v>
      </c>
      <c r="G356" s="16" t="n">
        <v>24.69</v>
      </c>
      <c r="H356" s="0" t="n">
        <v>4</v>
      </c>
      <c r="I356" s="16" t="n">
        <f aca="false">G356*H356*0.05</f>
        <v>4.938</v>
      </c>
      <c r="J356" s="16" t="n">
        <f aca="false">G356*H356*1.05</f>
        <v>103.698</v>
      </c>
      <c r="K356" s="17" t="n">
        <v>43498</v>
      </c>
      <c r="L356" s="14" t="s">
        <v>677</v>
      </c>
      <c r="M356" s="14" t="s">
        <v>34</v>
      </c>
      <c r="N356" s="16" t="n">
        <f aca="false">G356*H356</f>
        <v>98.76</v>
      </c>
      <c r="O356" s="18" t="n">
        <v>4.761904762</v>
      </c>
      <c r="P356" s="16" t="n">
        <f aca="false">I356</f>
        <v>4.938</v>
      </c>
      <c r="Q356" s="19" t="n">
        <v>6.1</v>
      </c>
      <c r="R356" s="0" t="str">
        <f aca="false">TEXT(K356,"mmm yyyy")</f>
        <v>Feb 2019</v>
      </c>
      <c r="S356" s="14" t="n">
        <f aca="false">HOUR(TIMEVALUE(L356))</f>
        <v>15</v>
      </c>
      <c r="T356" s="0" t="str">
        <f aca="false">IF(S356&lt;12,"Morning",IF(S356&lt;17,"Afternoon","Evening"))</f>
        <v>Afternoon</v>
      </c>
      <c r="U356" s="16" t="n">
        <f aca="false">G356*H356*0.05</f>
        <v>4.938</v>
      </c>
    </row>
    <row r="357" customFormat="false" ht="15" hidden="false" customHeight="false" outlineLevel="0" collapsed="false">
      <c r="A357" s="0" t="s">
        <v>678</v>
      </c>
      <c r="B357" s="0" t="s">
        <v>29</v>
      </c>
      <c r="C357" s="0" t="s">
        <v>56</v>
      </c>
      <c r="D357" s="0" t="s">
        <v>21</v>
      </c>
      <c r="E357" s="0" t="s">
        <v>57</v>
      </c>
      <c r="F357" s="0" t="s">
        <v>36</v>
      </c>
      <c r="G357" s="16" t="n">
        <v>13.87</v>
      </c>
      <c r="H357" s="0" t="n">
        <v>5</v>
      </c>
      <c r="I357" s="16" t="n">
        <f aca="false">G357*H357*0.05</f>
        <v>3.4675</v>
      </c>
      <c r="J357" s="16" t="n">
        <f aca="false">G357*H357*1.05</f>
        <v>72.8175</v>
      </c>
      <c r="K357" s="17" t="n">
        <v>43498</v>
      </c>
      <c r="L357" s="14" t="s">
        <v>613</v>
      </c>
      <c r="M357" s="14" t="s">
        <v>26</v>
      </c>
      <c r="N357" s="16" t="n">
        <f aca="false">G357*H357</f>
        <v>69.35</v>
      </c>
      <c r="O357" s="18" t="n">
        <v>4.761904762</v>
      </c>
      <c r="P357" s="16" t="n">
        <f aca="false">I357</f>
        <v>3.4675</v>
      </c>
      <c r="Q357" s="19" t="n">
        <v>5.5</v>
      </c>
      <c r="R357" s="0" t="str">
        <f aca="false">TEXT(K357,"mmm yyyy")</f>
        <v>Feb 2019</v>
      </c>
      <c r="S357" s="14" t="n">
        <f aca="false">HOUR(TIMEVALUE(L357))</f>
        <v>10</v>
      </c>
      <c r="T357" s="0" t="str">
        <f aca="false">IF(S357&lt;12,"Morning",IF(S357&lt;17,"Afternoon","Evening"))</f>
        <v>Morning</v>
      </c>
      <c r="U357" s="16" t="n">
        <f aca="false">G357*H357*0.05</f>
        <v>3.4675</v>
      </c>
    </row>
    <row r="358" customFormat="false" ht="15" hidden="false" customHeight="false" outlineLevel="0" collapsed="false">
      <c r="A358" s="0" t="s">
        <v>679</v>
      </c>
      <c r="B358" s="0" t="s">
        <v>29</v>
      </c>
      <c r="C358" s="0" t="s">
        <v>56</v>
      </c>
      <c r="D358" s="0" t="s">
        <v>22</v>
      </c>
      <c r="E358" s="0" t="s">
        <v>60</v>
      </c>
      <c r="F358" s="0" t="s">
        <v>27</v>
      </c>
      <c r="G358" s="16" t="n">
        <v>71.01</v>
      </c>
      <c r="H358" s="0" t="n">
        <v>1</v>
      </c>
      <c r="I358" s="16" t="n">
        <f aca="false">G358*H358*0.05</f>
        <v>3.5505</v>
      </c>
      <c r="J358" s="16" t="n">
        <f aca="false">G358*H358*1.05</f>
        <v>74.5605</v>
      </c>
      <c r="K358" s="17" t="n">
        <v>43498</v>
      </c>
      <c r="L358" s="14" t="s">
        <v>154</v>
      </c>
      <c r="M358" s="14" t="s">
        <v>26</v>
      </c>
      <c r="N358" s="16" t="n">
        <f aca="false">G358*H358</f>
        <v>71.01</v>
      </c>
      <c r="O358" s="18" t="n">
        <v>4.761904762</v>
      </c>
      <c r="P358" s="16" t="n">
        <f aca="false">I358</f>
        <v>3.5505</v>
      </c>
      <c r="Q358" s="19" t="n">
        <v>5.3</v>
      </c>
      <c r="R358" s="0" t="str">
        <f aca="false">TEXT(K358,"mmm yyyy")</f>
        <v>Feb 2019</v>
      </c>
      <c r="S358" s="14" t="n">
        <f aca="false">HOUR(TIMEVALUE(L358))</f>
        <v>14</v>
      </c>
      <c r="T358" s="0" t="str">
        <f aca="false">IF(S358&lt;12,"Morning",IF(S358&lt;17,"Afternoon","Evening"))</f>
        <v>Afternoon</v>
      </c>
      <c r="U358" s="16" t="n">
        <f aca="false">G358*H358*0.05</f>
        <v>3.5505</v>
      </c>
    </row>
    <row r="359" customFormat="false" ht="15" hidden="false" customHeight="false" outlineLevel="0" collapsed="false">
      <c r="A359" s="0" t="s">
        <v>680</v>
      </c>
      <c r="B359" s="0" t="s">
        <v>29</v>
      </c>
      <c r="C359" s="0" t="s">
        <v>56</v>
      </c>
      <c r="D359" s="0" t="s">
        <v>21</v>
      </c>
      <c r="E359" s="0" t="s">
        <v>60</v>
      </c>
      <c r="F359" s="0" t="s">
        <v>37</v>
      </c>
      <c r="G359" s="16" t="n">
        <v>15.46</v>
      </c>
      <c r="H359" s="0" t="n">
        <v>9</v>
      </c>
      <c r="I359" s="16" t="n">
        <f aca="false">G359*H359*0.05</f>
        <v>6.957</v>
      </c>
      <c r="J359" s="16" t="n">
        <f aca="false">G359*H359*1.05</f>
        <v>146.097</v>
      </c>
      <c r="K359" s="17" t="n">
        <v>43498</v>
      </c>
      <c r="L359" s="14" t="s">
        <v>537</v>
      </c>
      <c r="M359" s="14" t="s">
        <v>30</v>
      </c>
      <c r="N359" s="16" t="n">
        <f aca="false">G359*H359</f>
        <v>139.14</v>
      </c>
      <c r="O359" s="18" t="n">
        <v>4.761904762</v>
      </c>
      <c r="P359" s="16" t="n">
        <f aca="false">I359</f>
        <v>6.957</v>
      </c>
      <c r="Q359" s="19" t="n">
        <v>5.5</v>
      </c>
      <c r="R359" s="0" t="str">
        <f aca="false">TEXT(K359,"mmm yyyy")</f>
        <v>Feb 2019</v>
      </c>
      <c r="S359" s="14" t="n">
        <f aca="false">HOUR(TIMEVALUE(L359))</f>
        <v>18</v>
      </c>
      <c r="T359" s="0" t="str">
        <f aca="false">IF(S359&lt;12,"Morning",IF(S359&lt;17,"Afternoon","Evening"))</f>
        <v>Evening</v>
      </c>
      <c r="U359" s="16" t="n">
        <f aca="false">G359*H359*0.05</f>
        <v>6.957</v>
      </c>
    </row>
    <row r="360" customFormat="false" ht="15" hidden="false" customHeight="false" outlineLevel="0" collapsed="false">
      <c r="A360" s="0" t="s">
        <v>681</v>
      </c>
      <c r="B360" s="0" t="s">
        <v>25</v>
      </c>
      <c r="C360" s="0" t="s">
        <v>68</v>
      </c>
      <c r="D360" s="0" t="s">
        <v>22</v>
      </c>
      <c r="E360" s="0" t="s">
        <v>57</v>
      </c>
      <c r="F360" s="0" t="s">
        <v>27</v>
      </c>
      <c r="G360" s="16" t="n">
        <v>80.81</v>
      </c>
      <c r="H360" s="0" t="n">
        <v>2</v>
      </c>
      <c r="I360" s="16" t="n">
        <f aca="false">G360*H360*0.05</f>
        <v>8.081</v>
      </c>
      <c r="J360" s="16" t="n">
        <f aca="false">G360*H360*1.05</f>
        <v>169.701</v>
      </c>
      <c r="K360" s="17" t="n">
        <v>43498</v>
      </c>
      <c r="L360" s="14" t="s">
        <v>682</v>
      </c>
      <c r="M360" s="14" t="s">
        <v>26</v>
      </c>
      <c r="N360" s="16" t="n">
        <f aca="false">G360*H360</f>
        <v>161.62</v>
      </c>
      <c r="O360" s="18" t="n">
        <v>4.761904762</v>
      </c>
      <c r="P360" s="16" t="n">
        <f aca="false">I360</f>
        <v>8.081</v>
      </c>
      <c r="Q360" s="19" t="n">
        <v>7.9</v>
      </c>
      <c r="R360" s="0" t="str">
        <f aca="false">TEXT(K360,"mmm yyyy")</f>
        <v>Feb 2019</v>
      </c>
      <c r="S360" s="14" t="n">
        <f aca="false">HOUR(TIMEVALUE(L360))</f>
        <v>19</v>
      </c>
      <c r="T360" s="0" t="str">
        <f aca="false">IF(S360&lt;12,"Morning",IF(S360&lt;17,"Afternoon","Evening"))</f>
        <v>Evening</v>
      </c>
      <c r="U360" s="16" t="n">
        <f aca="false">G360*H360*0.05</f>
        <v>8.081</v>
      </c>
    </row>
    <row r="361" customFormat="false" ht="15" hidden="false" customHeight="false" outlineLevel="0" collapsed="false">
      <c r="A361" s="0" t="s">
        <v>683</v>
      </c>
      <c r="B361" s="0" t="s">
        <v>33</v>
      </c>
      <c r="C361" s="0" t="s">
        <v>65</v>
      </c>
      <c r="D361" s="0" t="s">
        <v>21</v>
      </c>
      <c r="E361" s="0" t="s">
        <v>57</v>
      </c>
      <c r="F361" s="0" t="s">
        <v>36</v>
      </c>
      <c r="G361" s="16" t="n">
        <v>32.31</v>
      </c>
      <c r="H361" s="0" t="n">
        <v>5</v>
      </c>
      <c r="I361" s="16" t="n">
        <f aca="false">G361*H361*0.05</f>
        <v>8.0775</v>
      </c>
      <c r="J361" s="16" t="n">
        <f aca="false">G361*H361*1.05</f>
        <v>169.6275</v>
      </c>
      <c r="K361" s="17" t="n">
        <v>43498</v>
      </c>
      <c r="L361" s="14" t="s">
        <v>684</v>
      </c>
      <c r="M361" s="14" t="s">
        <v>26</v>
      </c>
      <c r="N361" s="16" t="n">
        <f aca="false">G361*H361</f>
        <v>161.55</v>
      </c>
      <c r="O361" s="18" t="n">
        <v>4.761904762</v>
      </c>
      <c r="P361" s="16" t="n">
        <f aca="false">I361</f>
        <v>8.0775</v>
      </c>
      <c r="Q361" s="19" t="n">
        <v>8.2</v>
      </c>
      <c r="R361" s="0" t="str">
        <f aca="false">TEXT(K361,"mmm yyyy")</f>
        <v>Feb 2019</v>
      </c>
      <c r="S361" s="14" t="n">
        <f aca="false">HOUR(TIMEVALUE(L361))</f>
        <v>16</v>
      </c>
      <c r="T361" s="0" t="str">
        <f aca="false">IF(S361&lt;12,"Morning",IF(S361&lt;17,"Afternoon","Evening"))</f>
        <v>Afternoon</v>
      </c>
      <c r="U361" s="16" t="n">
        <f aca="false">G361*H361*0.05</f>
        <v>8.0775</v>
      </c>
    </row>
    <row r="362" customFormat="false" ht="15" hidden="false" customHeight="false" outlineLevel="0" collapsed="false">
      <c r="A362" s="0" t="s">
        <v>685</v>
      </c>
      <c r="B362" s="0" t="s">
        <v>29</v>
      </c>
      <c r="C362" s="0" t="s">
        <v>56</v>
      </c>
      <c r="D362" s="0" t="s">
        <v>22</v>
      </c>
      <c r="E362" s="0" t="s">
        <v>57</v>
      </c>
      <c r="F362" s="0" t="s">
        <v>35</v>
      </c>
      <c r="G362" s="16" t="n">
        <v>81.89</v>
      </c>
      <c r="H362" s="0" t="n">
        <v>5</v>
      </c>
      <c r="I362" s="16" t="n">
        <f aca="false">G362*H362*0.05</f>
        <v>20.4725</v>
      </c>
      <c r="J362" s="16" t="n">
        <f aca="false">G362*H362*1.05</f>
        <v>429.9225</v>
      </c>
      <c r="K362" s="17" t="n">
        <v>43498</v>
      </c>
      <c r="L362" s="14" t="s">
        <v>686</v>
      </c>
      <c r="M362" s="14" t="s">
        <v>26</v>
      </c>
      <c r="N362" s="16" t="n">
        <f aca="false">G362*H362</f>
        <v>409.45</v>
      </c>
      <c r="O362" s="18" t="n">
        <v>4.761904762</v>
      </c>
      <c r="P362" s="16" t="n">
        <f aca="false">I362</f>
        <v>20.4725</v>
      </c>
      <c r="Q362" s="19" t="n">
        <v>6</v>
      </c>
      <c r="R362" s="0" t="str">
        <f aca="false">TEXT(K362,"mmm yyyy")</f>
        <v>Feb 2019</v>
      </c>
      <c r="S362" s="14" t="n">
        <f aca="false">HOUR(TIMEVALUE(L362))</f>
        <v>18</v>
      </c>
      <c r="T362" s="0" t="str">
        <f aca="false">IF(S362&lt;12,"Morning",IF(S362&lt;17,"Afternoon","Evening"))</f>
        <v>Evening</v>
      </c>
      <c r="U362" s="16" t="n">
        <f aca="false">G362*H362*0.05</f>
        <v>20.4725</v>
      </c>
    </row>
    <row r="363" customFormat="false" ht="15" hidden="false" customHeight="false" outlineLevel="0" collapsed="false">
      <c r="A363" s="0" t="s">
        <v>687</v>
      </c>
      <c r="B363" s="0" t="s">
        <v>25</v>
      </c>
      <c r="C363" s="0" t="s">
        <v>68</v>
      </c>
      <c r="D363" s="0" t="s">
        <v>21</v>
      </c>
      <c r="E363" s="0" t="s">
        <v>60</v>
      </c>
      <c r="F363" s="0" t="s">
        <v>27</v>
      </c>
      <c r="G363" s="16" t="n">
        <v>68.75</v>
      </c>
      <c r="H363" s="0" t="n">
        <v>3</v>
      </c>
      <c r="I363" s="16" t="n">
        <f aca="false">G363*H363*0.05</f>
        <v>10.3125</v>
      </c>
      <c r="J363" s="16" t="n">
        <f aca="false">G363*H363*1.05</f>
        <v>216.5625</v>
      </c>
      <c r="K363" s="17" t="n">
        <v>43498</v>
      </c>
      <c r="L363" s="14" t="s">
        <v>120</v>
      </c>
      <c r="M363" s="14" t="s">
        <v>30</v>
      </c>
      <c r="N363" s="16" t="n">
        <f aca="false">G363*H363</f>
        <v>206.25</v>
      </c>
      <c r="O363" s="18" t="n">
        <v>4.761904762</v>
      </c>
      <c r="P363" s="16" t="n">
        <f aca="false">I363</f>
        <v>10.3125</v>
      </c>
      <c r="Q363" s="19" t="n">
        <v>9.3</v>
      </c>
      <c r="R363" s="0" t="str">
        <f aca="false">TEXT(K363,"mmm yyyy")</f>
        <v>Feb 2019</v>
      </c>
      <c r="S363" s="14" t="n">
        <f aca="false">HOUR(TIMEVALUE(L363))</f>
        <v>20</v>
      </c>
      <c r="T363" s="0" t="str">
        <f aca="false">IF(S363&lt;12,"Morning",IF(S363&lt;17,"Afternoon","Evening"))</f>
        <v>Evening</v>
      </c>
      <c r="U363" s="16" t="n">
        <f aca="false">G363*H363*0.05</f>
        <v>10.3125</v>
      </c>
    </row>
    <row r="364" customFormat="false" ht="15" hidden="false" customHeight="false" outlineLevel="0" collapsed="false">
      <c r="A364" s="0" t="s">
        <v>688</v>
      </c>
      <c r="B364" s="0" t="s">
        <v>29</v>
      </c>
      <c r="C364" s="0" t="s">
        <v>56</v>
      </c>
      <c r="D364" s="0" t="s">
        <v>22</v>
      </c>
      <c r="E364" s="0" t="s">
        <v>60</v>
      </c>
      <c r="F364" s="0" t="s">
        <v>27</v>
      </c>
      <c r="G364" s="16" t="n">
        <v>84.08</v>
      </c>
      <c r="H364" s="0" t="n">
        <v>5</v>
      </c>
      <c r="I364" s="16" t="n">
        <f aca="false">G364*H364*0.05</f>
        <v>21.02</v>
      </c>
      <c r="J364" s="16" t="n">
        <f aca="false">G364*H364*1.05</f>
        <v>441.42</v>
      </c>
      <c r="K364" s="17" t="n">
        <v>43498</v>
      </c>
      <c r="L364" s="14" t="s">
        <v>176</v>
      </c>
      <c r="M364" s="14" t="s">
        <v>30</v>
      </c>
      <c r="N364" s="16" t="n">
        <f aca="false">G364*H364</f>
        <v>420.4</v>
      </c>
      <c r="O364" s="18" t="n">
        <v>4.761904762</v>
      </c>
      <c r="P364" s="16" t="n">
        <f aca="false">I364</f>
        <v>21.02</v>
      </c>
      <c r="Q364" s="19" t="n">
        <v>9.2</v>
      </c>
      <c r="R364" s="0" t="str">
        <f aca="false">TEXT(K364,"mmm yyyy")</f>
        <v>Feb 2019</v>
      </c>
      <c r="S364" s="14" t="n">
        <f aca="false">HOUR(TIMEVALUE(L364))</f>
        <v>20</v>
      </c>
      <c r="T364" s="0" t="str">
        <f aca="false">IF(S364&lt;12,"Morning",IF(S364&lt;17,"Afternoon","Evening"))</f>
        <v>Evening</v>
      </c>
      <c r="U364" s="16" t="n">
        <f aca="false">G364*H364*0.05</f>
        <v>21.02</v>
      </c>
    </row>
    <row r="365" customFormat="false" ht="15" hidden="false" customHeight="false" outlineLevel="0" collapsed="false">
      <c r="A365" s="0" t="s">
        <v>689</v>
      </c>
      <c r="B365" s="0" t="s">
        <v>25</v>
      </c>
      <c r="C365" s="0" t="s">
        <v>68</v>
      </c>
      <c r="D365" s="0" t="s">
        <v>21</v>
      </c>
      <c r="E365" s="0" t="s">
        <v>57</v>
      </c>
      <c r="F365" s="0" t="s">
        <v>35</v>
      </c>
      <c r="G365" s="16" t="n">
        <v>90.32</v>
      </c>
      <c r="H365" s="0" t="n">
        <v>10</v>
      </c>
      <c r="I365" s="16" t="n">
        <f aca="false">G365*H365*0.05</f>
        <v>45.16</v>
      </c>
      <c r="J365" s="16" t="n">
        <f aca="false">G365*H365*1.05</f>
        <v>948.36</v>
      </c>
      <c r="K365" s="17" t="n">
        <v>43498</v>
      </c>
      <c r="L365" s="14" t="s">
        <v>176</v>
      </c>
      <c r="M365" s="14" t="s">
        <v>30</v>
      </c>
      <c r="N365" s="16" t="n">
        <f aca="false">G365*H365</f>
        <v>903.2</v>
      </c>
      <c r="O365" s="18" t="n">
        <v>4.761904762</v>
      </c>
      <c r="P365" s="16" t="n">
        <f aca="false">I365</f>
        <v>45.16</v>
      </c>
      <c r="Q365" s="19" t="n">
        <v>6.4</v>
      </c>
      <c r="R365" s="0" t="str">
        <f aca="false">TEXT(K365,"mmm yyyy")</f>
        <v>Feb 2019</v>
      </c>
      <c r="S365" s="14" t="n">
        <f aca="false">HOUR(TIMEVALUE(L365))</f>
        <v>20</v>
      </c>
      <c r="T365" s="0" t="str">
        <f aca="false">IF(S365&lt;12,"Morning",IF(S365&lt;17,"Afternoon","Evening"))</f>
        <v>Evening</v>
      </c>
      <c r="U365" s="16" t="n">
        <f aca="false">G365*H365*0.05</f>
        <v>45.16</v>
      </c>
    </row>
    <row r="366" customFormat="false" ht="15" hidden="false" customHeight="false" outlineLevel="0" collapsed="false">
      <c r="A366" s="0" t="s">
        <v>690</v>
      </c>
      <c r="B366" s="0" t="s">
        <v>33</v>
      </c>
      <c r="C366" s="0" t="s">
        <v>65</v>
      </c>
      <c r="D366" s="0" t="s">
        <v>21</v>
      </c>
      <c r="E366" s="0" t="s">
        <v>60</v>
      </c>
      <c r="F366" s="0" t="s">
        <v>36</v>
      </c>
      <c r="G366" s="16" t="n">
        <v>93.36</v>
      </c>
      <c r="H366" s="0" t="n">
        <v>4</v>
      </c>
      <c r="I366" s="16" t="n">
        <f aca="false">G366*H366*0.05</f>
        <v>18.672</v>
      </c>
      <c r="J366" s="16" t="n">
        <f aca="false">G366*H366*1.05</f>
        <v>392.112</v>
      </c>
      <c r="K366" s="17" t="n">
        <v>43498</v>
      </c>
      <c r="L366" s="14" t="s">
        <v>91</v>
      </c>
      <c r="M366" s="14" t="s">
        <v>34</v>
      </c>
      <c r="N366" s="16" t="n">
        <f aca="false">G366*H366</f>
        <v>373.44</v>
      </c>
      <c r="O366" s="18" t="n">
        <v>4.761904762</v>
      </c>
      <c r="P366" s="16" t="n">
        <f aca="false">I366</f>
        <v>18.672</v>
      </c>
      <c r="Q366" s="19" t="n">
        <v>9.1</v>
      </c>
      <c r="R366" s="0" t="str">
        <f aca="false">TEXT(K366,"mmm yyyy")</f>
        <v>Feb 2019</v>
      </c>
      <c r="S366" s="14" t="n">
        <f aca="false">HOUR(TIMEVALUE(L366))</f>
        <v>20</v>
      </c>
      <c r="T366" s="0" t="str">
        <f aca="false">IF(S366&lt;12,"Morning",IF(S366&lt;17,"Afternoon","Evening"))</f>
        <v>Evening</v>
      </c>
      <c r="U366" s="16" t="n">
        <f aca="false">G366*H366*0.05</f>
        <v>18.672</v>
      </c>
    </row>
    <row r="367" customFormat="false" ht="15" hidden="false" customHeight="false" outlineLevel="0" collapsed="false">
      <c r="A367" s="0" t="s">
        <v>691</v>
      </c>
      <c r="B367" s="0" t="s">
        <v>33</v>
      </c>
      <c r="C367" s="0" t="s">
        <v>65</v>
      </c>
      <c r="D367" s="0" t="s">
        <v>21</v>
      </c>
      <c r="E367" s="0" t="s">
        <v>57</v>
      </c>
      <c r="F367" s="0" t="s">
        <v>23</v>
      </c>
      <c r="G367" s="16" t="n">
        <v>79.7</v>
      </c>
      <c r="H367" s="0" t="n">
        <v>5</v>
      </c>
      <c r="I367" s="16" t="n">
        <f aca="false">G367*H367*0.05</f>
        <v>19.925</v>
      </c>
      <c r="J367" s="16" t="n">
        <f aca="false">G367*H367*1.05</f>
        <v>418.425</v>
      </c>
      <c r="K367" s="17" t="n">
        <v>43498</v>
      </c>
      <c r="L367" s="14" t="s">
        <v>692</v>
      </c>
      <c r="M367" s="14" t="s">
        <v>26</v>
      </c>
      <c r="N367" s="16" t="n">
        <f aca="false">G367*H367</f>
        <v>398.5</v>
      </c>
      <c r="O367" s="18" t="n">
        <v>4.761904762</v>
      </c>
      <c r="P367" s="16" t="n">
        <f aca="false">I367</f>
        <v>19.925</v>
      </c>
      <c r="Q367" s="19" t="n">
        <v>4.2</v>
      </c>
      <c r="R367" s="0" t="str">
        <f aca="false">TEXT(K367,"mmm yyyy")</f>
        <v>Feb 2019</v>
      </c>
      <c r="S367" s="14" t="n">
        <f aca="false">HOUR(TIMEVALUE(L367))</f>
        <v>15</v>
      </c>
      <c r="T367" s="0" t="str">
        <f aca="false">IF(S367&lt;12,"Morning",IF(S367&lt;17,"Afternoon","Evening"))</f>
        <v>Afternoon</v>
      </c>
      <c r="U367" s="16" t="n">
        <f aca="false">G367*H367*0.05</f>
        <v>19.925</v>
      </c>
    </row>
    <row r="368" customFormat="false" ht="15" hidden="false" customHeight="false" outlineLevel="0" collapsed="false">
      <c r="A368" s="0" t="s">
        <v>693</v>
      </c>
      <c r="B368" s="0" t="s">
        <v>25</v>
      </c>
      <c r="C368" s="0" t="s">
        <v>68</v>
      </c>
      <c r="D368" s="0" t="s">
        <v>21</v>
      </c>
      <c r="E368" s="0" t="s">
        <v>60</v>
      </c>
      <c r="F368" s="0" t="s">
        <v>27</v>
      </c>
      <c r="G368" s="16" t="n">
        <v>25.34</v>
      </c>
      <c r="H368" s="0" t="n">
        <v>5</v>
      </c>
      <c r="I368" s="16" t="n">
        <f aca="false">G368*H368*0.05</f>
        <v>6.335</v>
      </c>
      <c r="J368" s="16" t="n">
        <f aca="false">G368*H368*1.05</f>
        <v>133.035</v>
      </c>
      <c r="K368" s="17" t="n">
        <v>43498</v>
      </c>
      <c r="L368" s="14" t="s">
        <v>476</v>
      </c>
      <c r="M368" s="14" t="s">
        <v>26</v>
      </c>
      <c r="N368" s="16" t="n">
        <f aca="false">G368*H368</f>
        <v>126.7</v>
      </c>
      <c r="O368" s="18" t="n">
        <v>4.761904762</v>
      </c>
      <c r="P368" s="16" t="n">
        <f aca="false">I368</f>
        <v>6.335</v>
      </c>
      <c r="Q368" s="19" t="n">
        <v>4.2</v>
      </c>
      <c r="R368" s="0" t="str">
        <f aca="false">TEXT(K368,"mmm yyyy")</f>
        <v>Feb 2019</v>
      </c>
      <c r="S368" s="14" t="n">
        <f aca="false">HOUR(TIMEVALUE(L368))</f>
        <v>11</v>
      </c>
      <c r="T368" s="0" t="str">
        <f aca="false">IF(S368&lt;12,"Morning",IF(S368&lt;17,"Afternoon","Evening"))</f>
        <v>Morning</v>
      </c>
      <c r="U368" s="16" t="n">
        <f aca="false">G368*H368*0.05</f>
        <v>6.335</v>
      </c>
    </row>
    <row r="369" customFormat="false" ht="15" hidden="false" customHeight="false" outlineLevel="0" collapsed="false">
      <c r="A369" s="0" t="s">
        <v>694</v>
      </c>
      <c r="B369" s="0" t="s">
        <v>25</v>
      </c>
      <c r="C369" s="0" t="s">
        <v>68</v>
      </c>
      <c r="D369" s="0" t="s">
        <v>21</v>
      </c>
      <c r="E369" s="0" t="s">
        <v>60</v>
      </c>
      <c r="F369" s="0" t="s">
        <v>37</v>
      </c>
      <c r="G369" s="16" t="n">
        <v>92.5</v>
      </c>
      <c r="H369" s="0" t="n">
        <v>6</v>
      </c>
      <c r="I369" s="16" t="n">
        <f aca="false">G369*H369*0.05</f>
        <v>27.75</v>
      </c>
      <c r="J369" s="16" t="n">
        <f aca="false">G369*H369*1.05</f>
        <v>582.75</v>
      </c>
      <c r="K369" s="17" t="n">
        <v>43498</v>
      </c>
      <c r="L369" s="14" t="s">
        <v>695</v>
      </c>
      <c r="M369" s="14" t="s">
        <v>34</v>
      </c>
      <c r="N369" s="16" t="n">
        <f aca="false">G369*H369</f>
        <v>555</v>
      </c>
      <c r="O369" s="18" t="n">
        <v>4.761904762</v>
      </c>
      <c r="P369" s="16" t="n">
        <f aca="false">I369</f>
        <v>27.75</v>
      </c>
      <c r="Q369" s="19" t="n">
        <v>9.9</v>
      </c>
      <c r="R369" s="0" t="str">
        <f aca="false">TEXT(K369,"mmm yyyy")</f>
        <v>Feb 2019</v>
      </c>
      <c r="S369" s="14" t="n">
        <f aca="false">HOUR(TIMEVALUE(L369))</f>
        <v>19</v>
      </c>
      <c r="T369" s="0" t="str">
        <f aca="false">IF(S369&lt;12,"Morning",IF(S369&lt;17,"Afternoon","Evening"))</f>
        <v>Evening</v>
      </c>
      <c r="U369" s="16" t="n">
        <f aca="false">G369*H369*0.05</f>
        <v>27.75</v>
      </c>
    </row>
    <row r="370" customFormat="false" ht="15" hidden="false" customHeight="false" outlineLevel="0" collapsed="false">
      <c r="A370" s="0" t="s">
        <v>696</v>
      </c>
      <c r="B370" s="0" t="s">
        <v>33</v>
      </c>
      <c r="C370" s="0" t="s">
        <v>65</v>
      </c>
      <c r="D370" s="0" t="s">
        <v>22</v>
      </c>
      <c r="E370" s="0" t="s">
        <v>57</v>
      </c>
      <c r="F370" s="0" t="s">
        <v>27</v>
      </c>
      <c r="G370" s="16" t="n">
        <v>15.18</v>
      </c>
      <c r="H370" s="0" t="n">
        <v>7</v>
      </c>
      <c r="I370" s="16" t="n">
        <f aca="false">G370*H370*0.05</f>
        <v>5.313</v>
      </c>
      <c r="J370" s="16" t="n">
        <f aca="false">G370*H370*1.05</f>
        <v>111.573</v>
      </c>
      <c r="K370" s="17" t="n">
        <v>43499</v>
      </c>
      <c r="L370" s="14" t="s">
        <v>697</v>
      </c>
      <c r="M370" s="14" t="s">
        <v>30</v>
      </c>
      <c r="N370" s="16" t="n">
        <f aca="false">G370*H370</f>
        <v>106.26</v>
      </c>
      <c r="O370" s="18" t="n">
        <v>4.761904762</v>
      </c>
      <c r="P370" s="16" t="n">
        <f aca="false">I370</f>
        <v>5.313</v>
      </c>
      <c r="Q370" s="19" t="n">
        <v>5.3</v>
      </c>
      <c r="R370" s="0" t="str">
        <f aca="false">TEXT(K370,"mmm yyyy")</f>
        <v>Feb 2019</v>
      </c>
      <c r="S370" s="14" t="n">
        <f aca="false">HOUR(TIMEVALUE(L370))</f>
        <v>11</v>
      </c>
      <c r="T370" s="0" t="str">
        <f aca="false">IF(S370&lt;12,"Morning",IF(S370&lt;17,"Afternoon","Evening"))</f>
        <v>Morning</v>
      </c>
      <c r="U370" s="16" t="n">
        <f aca="false">G370*H370*0.05</f>
        <v>5.313</v>
      </c>
    </row>
    <row r="371" customFormat="false" ht="15" hidden="false" customHeight="false" outlineLevel="0" collapsed="false">
      <c r="A371" s="0" t="s">
        <v>698</v>
      </c>
      <c r="B371" s="0" t="s">
        <v>29</v>
      </c>
      <c r="C371" s="0" t="s">
        <v>56</v>
      </c>
      <c r="D371" s="0" t="s">
        <v>22</v>
      </c>
      <c r="E371" s="0" t="s">
        <v>60</v>
      </c>
      <c r="F371" s="0" t="s">
        <v>23</v>
      </c>
      <c r="G371" s="16" t="n">
        <v>52.22</v>
      </c>
      <c r="H371" s="0" t="n">
        <v>8</v>
      </c>
      <c r="I371" s="16" t="n">
        <f aca="false">G371*H371*0.05</f>
        <v>20.888</v>
      </c>
      <c r="J371" s="16" t="n">
        <f aca="false">G371*H371*1.05</f>
        <v>438.648</v>
      </c>
      <c r="K371" s="17" t="n">
        <v>43499</v>
      </c>
      <c r="L371" s="14" t="s">
        <v>699</v>
      </c>
      <c r="M371" s="14" t="s">
        <v>30</v>
      </c>
      <c r="N371" s="16" t="n">
        <f aca="false">G371*H371</f>
        <v>417.76</v>
      </c>
      <c r="O371" s="18" t="n">
        <v>4.761904762</v>
      </c>
      <c r="P371" s="16" t="n">
        <f aca="false">I371</f>
        <v>20.888</v>
      </c>
      <c r="Q371" s="19" t="n">
        <v>6.4</v>
      </c>
      <c r="R371" s="0" t="str">
        <f aca="false">TEXT(K371,"mmm yyyy")</f>
        <v>Feb 2019</v>
      </c>
      <c r="S371" s="14" t="n">
        <f aca="false">HOUR(TIMEVALUE(L371))</f>
        <v>14</v>
      </c>
      <c r="T371" s="0" t="str">
        <f aca="false">IF(S371&lt;12,"Morning",IF(S371&lt;17,"Afternoon","Evening"))</f>
        <v>Afternoon</v>
      </c>
      <c r="U371" s="16" t="n">
        <f aca="false">G371*H371*0.05</f>
        <v>20.888</v>
      </c>
    </row>
    <row r="372" customFormat="false" ht="15" hidden="false" customHeight="false" outlineLevel="0" collapsed="false">
      <c r="A372" s="0" t="s">
        <v>700</v>
      </c>
      <c r="B372" s="0" t="s">
        <v>25</v>
      </c>
      <c r="C372" s="0" t="s">
        <v>68</v>
      </c>
      <c r="D372" s="0" t="s">
        <v>22</v>
      </c>
      <c r="E372" s="0" t="s">
        <v>57</v>
      </c>
      <c r="F372" s="0" t="s">
        <v>36</v>
      </c>
      <c r="G372" s="16" t="n">
        <v>76.16</v>
      </c>
      <c r="H372" s="0" t="n">
        <v>6</v>
      </c>
      <c r="I372" s="16" t="n">
        <f aca="false">G372*H372*0.05</f>
        <v>22.848</v>
      </c>
      <c r="J372" s="16" t="n">
        <f aca="false">G372*H372*1.05</f>
        <v>479.808</v>
      </c>
      <c r="K372" s="17" t="n">
        <v>43499</v>
      </c>
      <c r="L372" s="14" t="s">
        <v>701</v>
      </c>
      <c r="M372" s="14" t="s">
        <v>34</v>
      </c>
      <c r="N372" s="16" t="n">
        <f aca="false">G372*H372</f>
        <v>456.96</v>
      </c>
      <c r="O372" s="18" t="n">
        <v>4.761904762</v>
      </c>
      <c r="P372" s="16" t="n">
        <f aca="false">I372</f>
        <v>22.848</v>
      </c>
      <c r="Q372" s="19" t="n">
        <v>4.4</v>
      </c>
      <c r="R372" s="0" t="str">
        <f aca="false">TEXT(K372,"mmm yyyy")</f>
        <v>Feb 2019</v>
      </c>
      <c r="S372" s="14" t="n">
        <f aca="false">HOUR(TIMEVALUE(L372))</f>
        <v>18</v>
      </c>
      <c r="T372" s="0" t="str">
        <f aca="false">IF(S372&lt;12,"Morning",IF(S372&lt;17,"Afternoon","Evening"))</f>
        <v>Evening</v>
      </c>
      <c r="U372" s="16" t="n">
        <f aca="false">G372*H372*0.05</f>
        <v>22.848</v>
      </c>
    </row>
    <row r="373" customFormat="false" ht="15" hidden="false" customHeight="false" outlineLevel="0" collapsed="false">
      <c r="A373" s="0" t="s">
        <v>702</v>
      </c>
      <c r="B373" s="0" t="s">
        <v>29</v>
      </c>
      <c r="C373" s="0" t="s">
        <v>56</v>
      </c>
      <c r="D373" s="0" t="s">
        <v>21</v>
      </c>
      <c r="E373" s="0" t="s">
        <v>57</v>
      </c>
      <c r="F373" s="0" t="s">
        <v>23</v>
      </c>
      <c r="G373" s="16" t="n">
        <v>12.36</v>
      </c>
      <c r="H373" s="0" t="n">
        <v>5</v>
      </c>
      <c r="I373" s="16" t="n">
        <f aca="false">G373*H373*0.05</f>
        <v>3.09</v>
      </c>
      <c r="J373" s="16" t="n">
        <f aca="false">G373*H373*1.05</f>
        <v>64.89</v>
      </c>
      <c r="K373" s="17" t="n">
        <v>43499</v>
      </c>
      <c r="L373" s="14" t="s">
        <v>703</v>
      </c>
      <c r="M373" s="14" t="s">
        <v>34</v>
      </c>
      <c r="N373" s="16" t="n">
        <f aca="false">G373*H373</f>
        <v>61.8</v>
      </c>
      <c r="O373" s="18" t="n">
        <v>4.761904762</v>
      </c>
      <c r="P373" s="16" t="n">
        <f aca="false">I373</f>
        <v>3.09</v>
      </c>
      <c r="Q373" s="19" t="n">
        <v>5.5</v>
      </c>
      <c r="R373" s="0" t="str">
        <f aca="false">TEXT(K373,"mmm yyyy")</f>
        <v>Feb 2019</v>
      </c>
      <c r="S373" s="14" t="n">
        <f aca="false">HOUR(TIMEVALUE(L373))</f>
        <v>19</v>
      </c>
      <c r="T373" s="0" t="str">
        <f aca="false">IF(S373&lt;12,"Morning",IF(S373&lt;17,"Afternoon","Evening"))</f>
        <v>Evening</v>
      </c>
      <c r="U373" s="16" t="n">
        <f aca="false">G373*H373*0.05</f>
        <v>3.09</v>
      </c>
    </row>
    <row r="374" customFormat="false" ht="15" hidden="false" customHeight="false" outlineLevel="0" collapsed="false">
      <c r="A374" s="0" t="s">
        <v>704</v>
      </c>
      <c r="B374" s="0" t="s">
        <v>33</v>
      </c>
      <c r="C374" s="0" t="s">
        <v>65</v>
      </c>
      <c r="D374" s="0" t="s">
        <v>22</v>
      </c>
      <c r="E374" s="0" t="s">
        <v>57</v>
      </c>
      <c r="F374" s="0" t="s">
        <v>31</v>
      </c>
      <c r="G374" s="16" t="n">
        <v>37.79</v>
      </c>
      <c r="H374" s="0" t="n">
        <v>1</v>
      </c>
      <c r="I374" s="16" t="n">
        <f aca="false">G374*H374*0.05</f>
        <v>1.8895</v>
      </c>
      <c r="J374" s="16" t="n">
        <f aca="false">G374*H374*1.05</f>
        <v>39.6795</v>
      </c>
      <c r="K374" s="17" t="n">
        <v>43500</v>
      </c>
      <c r="L374" s="14" t="s">
        <v>686</v>
      </c>
      <c r="M374" s="14" t="s">
        <v>34</v>
      </c>
      <c r="N374" s="16" t="n">
        <f aca="false">G374*H374</f>
        <v>37.79</v>
      </c>
      <c r="O374" s="18" t="n">
        <v>4.761904762</v>
      </c>
      <c r="P374" s="16" t="n">
        <f aca="false">I374</f>
        <v>1.8895</v>
      </c>
      <c r="Q374" s="19" t="n">
        <v>9.3</v>
      </c>
      <c r="R374" s="0" t="str">
        <f aca="false">TEXT(K374,"mmm yyyy")</f>
        <v>Feb 2019</v>
      </c>
      <c r="S374" s="14" t="n">
        <f aca="false">HOUR(TIMEVALUE(L374))</f>
        <v>18</v>
      </c>
      <c r="T374" s="0" t="str">
        <f aca="false">IF(S374&lt;12,"Morning",IF(S374&lt;17,"Afternoon","Evening"))</f>
        <v>Evening</v>
      </c>
      <c r="U374" s="16" t="n">
        <f aca="false">G374*H374*0.05</f>
        <v>1.8895</v>
      </c>
    </row>
    <row r="375" customFormat="false" ht="15" hidden="false" customHeight="false" outlineLevel="0" collapsed="false">
      <c r="A375" s="0" t="s">
        <v>705</v>
      </c>
      <c r="B375" s="0" t="s">
        <v>33</v>
      </c>
      <c r="C375" s="0" t="s">
        <v>65</v>
      </c>
      <c r="D375" s="0" t="s">
        <v>22</v>
      </c>
      <c r="E375" s="0" t="s">
        <v>57</v>
      </c>
      <c r="F375" s="0" t="s">
        <v>23</v>
      </c>
      <c r="G375" s="16" t="n">
        <v>93.02</v>
      </c>
      <c r="H375" s="0" t="n">
        <v>10</v>
      </c>
      <c r="I375" s="16" t="n">
        <f aca="false">G375*H375*0.05</f>
        <v>46.51</v>
      </c>
      <c r="J375" s="16" t="n">
        <f aca="false">G375*H375*1.05</f>
        <v>976.71</v>
      </c>
      <c r="K375" s="17" t="n">
        <v>43500</v>
      </c>
      <c r="L375" s="14" t="s">
        <v>619</v>
      </c>
      <c r="M375" s="14" t="s">
        <v>26</v>
      </c>
      <c r="N375" s="16" t="n">
        <f aca="false">G375*H375</f>
        <v>930.2</v>
      </c>
      <c r="O375" s="18" t="n">
        <v>4.761904762</v>
      </c>
      <c r="P375" s="16" t="n">
        <f aca="false">I375</f>
        <v>46.51</v>
      </c>
      <c r="Q375" s="19" t="n">
        <v>6.4</v>
      </c>
      <c r="R375" s="0" t="str">
        <f aca="false">TEXT(K375,"mmm yyyy")</f>
        <v>Feb 2019</v>
      </c>
      <c r="S375" s="14" t="n">
        <f aca="false">HOUR(TIMEVALUE(L375))</f>
        <v>15</v>
      </c>
      <c r="T375" s="0" t="str">
        <f aca="false">IF(S375&lt;12,"Morning",IF(S375&lt;17,"Afternoon","Evening"))</f>
        <v>Afternoon</v>
      </c>
      <c r="U375" s="16" t="n">
        <f aca="false">G375*H375*0.05</f>
        <v>46.51</v>
      </c>
    </row>
    <row r="376" customFormat="false" ht="15" hidden="false" customHeight="false" outlineLevel="0" collapsed="false">
      <c r="A376" s="0" t="s">
        <v>706</v>
      </c>
      <c r="B376" s="0" t="s">
        <v>33</v>
      </c>
      <c r="C376" s="0" t="s">
        <v>65</v>
      </c>
      <c r="D376" s="0" t="s">
        <v>22</v>
      </c>
      <c r="E376" s="0" t="s">
        <v>57</v>
      </c>
      <c r="F376" s="0" t="s">
        <v>31</v>
      </c>
      <c r="G376" s="16" t="n">
        <v>58.76</v>
      </c>
      <c r="H376" s="0" t="n">
        <v>3</v>
      </c>
      <c r="I376" s="16" t="n">
        <f aca="false">G376*H376*0.05</f>
        <v>8.814</v>
      </c>
      <c r="J376" s="16" t="n">
        <f aca="false">G376*H376*1.05</f>
        <v>185.094</v>
      </c>
      <c r="K376" s="17" t="n">
        <v>43500</v>
      </c>
      <c r="L376" s="14" t="s">
        <v>707</v>
      </c>
      <c r="M376" s="14" t="s">
        <v>34</v>
      </c>
      <c r="N376" s="16" t="n">
        <f aca="false">G376*H376</f>
        <v>176.28</v>
      </c>
      <c r="O376" s="18" t="n">
        <v>4.761904762</v>
      </c>
      <c r="P376" s="16" t="n">
        <f aca="false">I376</f>
        <v>8.814</v>
      </c>
      <c r="Q376" s="19" t="n">
        <v>7.9</v>
      </c>
      <c r="R376" s="0" t="str">
        <f aca="false">TEXT(K376,"mmm yyyy")</f>
        <v>Feb 2019</v>
      </c>
      <c r="S376" s="14" t="n">
        <f aca="false">HOUR(TIMEVALUE(L376))</f>
        <v>13</v>
      </c>
      <c r="T376" s="0" t="str">
        <f aca="false">IF(S376&lt;12,"Morning",IF(S376&lt;17,"Afternoon","Evening"))</f>
        <v>Afternoon</v>
      </c>
      <c r="U376" s="16" t="n">
        <f aca="false">G376*H376*0.05</f>
        <v>8.814</v>
      </c>
    </row>
    <row r="377" customFormat="false" ht="15" hidden="false" customHeight="false" outlineLevel="0" collapsed="false">
      <c r="A377" s="0" t="s">
        <v>708</v>
      </c>
      <c r="B377" s="0" t="s">
        <v>29</v>
      </c>
      <c r="C377" s="0" t="s">
        <v>56</v>
      </c>
      <c r="D377" s="0" t="s">
        <v>21</v>
      </c>
      <c r="E377" s="0" t="s">
        <v>57</v>
      </c>
      <c r="F377" s="0" t="s">
        <v>27</v>
      </c>
      <c r="G377" s="16" t="n">
        <v>23.12</v>
      </c>
      <c r="H377" s="0" t="n">
        <v>7</v>
      </c>
      <c r="I377" s="16" t="n">
        <f aca="false">G377*H377*0.05</f>
        <v>8.092</v>
      </c>
      <c r="J377" s="16" t="n">
        <f aca="false">G377*H377*1.05</f>
        <v>169.932</v>
      </c>
      <c r="K377" s="17" t="n">
        <v>43500</v>
      </c>
      <c r="L377" s="14" t="s">
        <v>709</v>
      </c>
      <c r="M377" s="14" t="s">
        <v>30</v>
      </c>
      <c r="N377" s="16" t="n">
        <f aca="false">G377*H377</f>
        <v>161.84</v>
      </c>
      <c r="O377" s="18" t="n">
        <v>4.761904762</v>
      </c>
      <c r="P377" s="16" t="n">
        <f aca="false">I377</f>
        <v>8.092</v>
      </c>
      <c r="Q377" s="19" t="n">
        <v>4.9</v>
      </c>
      <c r="R377" s="0" t="str">
        <f aca="false">TEXT(K377,"mmm yyyy")</f>
        <v>Feb 2019</v>
      </c>
      <c r="S377" s="14" t="n">
        <f aca="false">HOUR(TIMEVALUE(L377))</f>
        <v>19</v>
      </c>
      <c r="T377" s="0" t="str">
        <f aca="false">IF(S377&lt;12,"Morning",IF(S377&lt;17,"Afternoon","Evening"))</f>
        <v>Evening</v>
      </c>
      <c r="U377" s="16" t="n">
        <f aca="false">G377*H377*0.05</f>
        <v>8.092</v>
      </c>
    </row>
    <row r="378" customFormat="false" ht="15" hidden="false" customHeight="false" outlineLevel="0" collapsed="false">
      <c r="A378" s="0" t="s">
        <v>710</v>
      </c>
      <c r="B378" s="0" t="s">
        <v>25</v>
      </c>
      <c r="C378" s="0" t="s">
        <v>68</v>
      </c>
      <c r="D378" s="0" t="s">
        <v>21</v>
      </c>
      <c r="E378" s="0" t="s">
        <v>57</v>
      </c>
      <c r="F378" s="0" t="s">
        <v>36</v>
      </c>
      <c r="G378" s="16" t="n">
        <v>68.48</v>
      </c>
      <c r="H378" s="0" t="n">
        <v>10</v>
      </c>
      <c r="I378" s="16" t="n">
        <f aca="false">G378*H378*0.05</f>
        <v>34.24</v>
      </c>
      <c r="J378" s="16" t="n">
        <f aca="false">G378*H378*1.05</f>
        <v>719.04</v>
      </c>
      <c r="K378" s="17" t="n">
        <v>43500</v>
      </c>
      <c r="L378" s="14" t="s">
        <v>711</v>
      </c>
      <c r="M378" s="14" t="s">
        <v>30</v>
      </c>
      <c r="N378" s="16" t="n">
        <f aca="false">G378*H378</f>
        <v>684.8</v>
      </c>
      <c r="O378" s="18" t="n">
        <v>4.761904762</v>
      </c>
      <c r="P378" s="16" t="n">
        <f aca="false">I378</f>
        <v>34.24</v>
      </c>
      <c r="Q378" s="19" t="n">
        <v>6.6</v>
      </c>
      <c r="R378" s="0" t="str">
        <f aca="false">TEXT(K378,"mmm yyyy")</f>
        <v>Feb 2019</v>
      </c>
      <c r="S378" s="14" t="n">
        <f aca="false">HOUR(TIMEVALUE(L378))</f>
        <v>13</v>
      </c>
      <c r="T378" s="0" t="str">
        <f aca="false">IF(S378&lt;12,"Morning",IF(S378&lt;17,"Afternoon","Evening"))</f>
        <v>Afternoon</v>
      </c>
      <c r="U378" s="16" t="n">
        <f aca="false">G378*H378*0.05</f>
        <v>34.24</v>
      </c>
    </row>
    <row r="379" customFormat="false" ht="15" hidden="false" customHeight="false" outlineLevel="0" collapsed="false">
      <c r="A379" s="0" t="s">
        <v>712</v>
      </c>
      <c r="B379" s="0" t="s">
        <v>25</v>
      </c>
      <c r="C379" s="0" t="s">
        <v>68</v>
      </c>
      <c r="D379" s="0" t="s">
        <v>22</v>
      </c>
      <c r="E379" s="0" t="s">
        <v>57</v>
      </c>
      <c r="F379" s="0" t="s">
        <v>23</v>
      </c>
      <c r="G379" s="16" t="n">
        <v>86.22</v>
      </c>
      <c r="H379" s="0" t="n">
        <v>9</v>
      </c>
      <c r="I379" s="16" t="n">
        <f aca="false">G379*H379*0.05</f>
        <v>38.799</v>
      </c>
      <c r="J379" s="16" t="n">
        <f aca="false">G379*H379*1.05</f>
        <v>814.779</v>
      </c>
      <c r="K379" s="17" t="n">
        <v>43500</v>
      </c>
      <c r="L379" s="14" t="s">
        <v>677</v>
      </c>
      <c r="M379" s="14" t="s">
        <v>34</v>
      </c>
      <c r="N379" s="16" t="n">
        <f aca="false">G379*H379</f>
        <v>775.98</v>
      </c>
      <c r="O379" s="18" t="n">
        <v>4.761904762</v>
      </c>
      <c r="P379" s="16" t="n">
        <f aca="false">I379</f>
        <v>38.799</v>
      </c>
      <c r="Q379" s="19" t="n">
        <v>7.3</v>
      </c>
      <c r="R379" s="0" t="str">
        <f aca="false">TEXT(K379,"mmm yyyy")</f>
        <v>Feb 2019</v>
      </c>
      <c r="S379" s="14" t="n">
        <f aca="false">HOUR(TIMEVALUE(L379))</f>
        <v>15</v>
      </c>
      <c r="T379" s="0" t="str">
        <f aca="false">IF(S379&lt;12,"Morning",IF(S379&lt;17,"Afternoon","Evening"))</f>
        <v>Afternoon</v>
      </c>
      <c r="U379" s="16" t="n">
        <f aca="false">G379*H379*0.05</f>
        <v>38.799</v>
      </c>
    </row>
    <row r="380" customFormat="false" ht="15" hidden="false" customHeight="false" outlineLevel="0" collapsed="false">
      <c r="A380" s="0" t="s">
        <v>713</v>
      </c>
      <c r="B380" s="0" t="s">
        <v>33</v>
      </c>
      <c r="C380" s="0" t="s">
        <v>65</v>
      </c>
      <c r="D380" s="0" t="s">
        <v>22</v>
      </c>
      <c r="E380" s="0" t="s">
        <v>60</v>
      </c>
      <c r="F380" s="0" t="s">
        <v>31</v>
      </c>
      <c r="G380" s="16" t="n">
        <v>83.96</v>
      </c>
      <c r="H380" s="0" t="n">
        <v>3</v>
      </c>
      <c r="I380" s="16" t="n">
        <f aca="false">G380*H380*0.05</f>
        <v>12.594</v>
      </c>
      <c r="J380" s="16" t="n">
        <f aca="false">G380*H380*1.05</f>
        <v>264.474</v>
      </c>
      <c r="K380" s="17" t="n">
        <v>43500</v>
      </c>
      <c r="L380" s="14" t="s">
        <v>714</v>
      </c>
      <c r="M380" s="14" t="s">
        <v>26</v>
      </c>
      <c r="N380" s="16" t="n">
        <f aca="false">G380*H380</f>
        <v>251.88</v>
      </c>
      <c r="O380" s="18" t="n">
        <v>4.761904762</v>
      </c>
      <c r="P380" s="16" t="n">
        <f aca="false">I380</f>
        <v>12.594</v>
      </c>
      <c r="Q380" s="19" t="n">
        <v>9.9</v>
      </c>
      <c r="R380" s="0" t="str">
        <f aca="false">TEXT(K380,"mmm yyyy")</f>
        <v>Feb 2019</v>
      </c>
      <c r="S380" s="14" t="n">
        <f aca="false">HOUR(TIMEVALUE(L380))</f>
        <v>20</v>
      </c>
      <c r="T380" s="0" t="str">
        <f aca="false">IF(S380&lt;12,"Morning",IF(S380&lt;17,"Afternoon","Evening"))</f>
        <v>Evening</v>
      </c>
      <c r="U380" s="16" t="n">
        <f aca="false">G380*H380*0.05</f>
        <v>12.594</v>
      </c>
    </row>
    <row r="381" customFormat="false" ht="15" hidden="false" customHeight="false" outlineLevel="0" collapsed="false">
      <c r="A381" s="0" t="s">
        <v>715</v>
      </c>
      <c r="B381" s="0" t="s">
        <v>29</v>
      </c>
      <c r="C381" s="0" t="s">
        <v>56</v>
      </c>
      <c r="D381" s="0" t="s">
        <v>21</v>
      </c>
      <c r="E381" s="0" t="s">
        <v>60</v>
      </c>
      <c r="F381" s="0" t="s">
        <v>27</v>
      </c>
      <c r="G381" s="16" t="n">
        <v>23.19</v>
      </c>
      <c r="H381" s="0" t="n">
        <v>10</v>
      </c>
      <c r="I381" s="16" t="n">
        <f aca="false">G381*H381*0.05</f>
        <v>11.595</v>
      </c>
      <c r="J381" s="16" t="n">
        <f aca="false">G381*H381*1.05</f>
        <v>243.495</v>
      </c>
      <c r="K381" s="17" t="n">
        <v>43500</v>
      </c>
      <c r="L381" s="14" t="s">
        <v>450</v>
      </c>
      <c r="M381" s="14" t="s">
        <v>34</v>
      </c>
      <c r="N381" s="16" t="n">
        <f aca="false">G381*H381</f>
        <v>231.9</v>
      </c>
      <c r="O381" s="18" t="n">
        <v>4.761904762</v>
      </c>
      <c r="P381" s="16" t="n">
        <f aca="false">I381</f>
        <v>11.595</v>
      </c>
      <c r="Q381" s="19" t="n">
        <v>4.8</v>
      </c>
      <c r="R381" s="0" t="str">
        <f aca="false">TEXT(K381,"mmm yyyy")</f>
        <v>Feb 2019</v>
      </c>
      <c r="S381" s="14" t="n">
        <f aca="false">HOUR(TIMEVALUE(L381))</f>
        <v>12</v>
      </c>
      <c r="T381" s="0" t="str">
        <f aca="false">IF(S381&lt;12,"Morning",IF(S381&lt;17,"Afternoon","Evening"))</f>
        <v>Afternoon</v>
      </c>
      <c r="U381" s="16" t="n">
        <f aca="false">G381*H381*0.05</f>
        <v>11.595</v>
      </c>
    </row>
    <row r="382" customFormat="false" ht="15" hidden="false" customHeight="false" outlineLevel="0" collapsed="false">
      <c r="A382" s="0" t="s">
        <v>716</v>
      </c>
      <c r="B382" s="0" t="s">
        <v>33</v>
      </c>
      <c r="C382" s="0" t="s">
        <v>65</v>
      </c>
      <c r="D382" s="0" t="s">
        <v>21</v>
      </c>
      <c r="E382" s="0" t="s">
        <v>57</v>
      </c>
      <c r="F382" s="0" t="s">
        <v>37</v>
      </c>
      <c r="G382" s="16" t="n">
        <v>19.07</v>
      </c>
      <c r="H382" s="0" t="n">
        <v>3</v>
      </c>
      <c r="I382" s="16" t="n">
        <f aca="false">G382*H382*0.05</f>
        <v>2.8605</v>
      </c>
      <c r="J382" s="16" t="n">
        <f aca="false">G382*H382*1.05</f>
        <v>60.0705</v>
      </c>
      <c r="K382" s="17" t="n">
        <v>43501</v>
      </c>
      <c r="L382" s="14" t="s">
        <v>579</v>
      </c>
      <c r="M382" s="14" t="s">
        <v>34</v>
      </c>
      <c r="N382" s="16" t="n">
        <f aca="false">G382*H382</f>
        <v>57.21</v>
      </c>
      <c r="O382" s="18" t="n">
        <v>4.761904762</v>
      </c>
      <c r="P382" s="16" t="n">
        <f aca="false">I382</f>
        <v>2.8605</v>
      </c>
      <c r="Q382" s="19" t="n">
        <v>8.3</v>
      </c>
      <c r="R382" s="0" t="str">
        <f aca="false">TEXT(K382,"mmm yyyy")</f>
        <v>Feb 2019</v>
      </c>
      <c r="S382" s="14" t="n">
        <f aca="false">HOUR(TIMEVALUE(L382))</f>
        <v>10</v>
      </c>
      <c r="T382" s="0" t="str">
        <f aca="false">IF(S382&lt;12,"Morning",IF(S382&lt;17,"Afternoon","Evening"))</f>
        <v>Morning</v>
      </c>
      <c r="U382" s="16" t="n">
        <f aca="false">G382*H382*0.05</f>
        <v>2.8605</v>
      </c>
    </row>
    <row r="383" customFormat="false" ht="15" hidden="false" customHeight="false" outlineLevel="0" collapsed="false">
      <c r="A383" s="0" t="s">
        <v>717</v>
      </c>
      <c r="B383" s="0" t="s">
        <v>29</v>
      </c>
      <c r="C383" s="0" t="s">
        <v>56</v>
      </c>
      <c r="D383" s="0" t="s">
        <v>21</v>
      </c>
      <c r="E383" s="0" t="s">
        <v>57</v>
      </c>
      <c r="F383" s="0" t="s">
        <v>27</v>
      </c>
      <c r="G383" s="16" t="n">
        <v>75.85</v>
      </c>
      <c r="H383" s="0" t="n">
        <v>4</v>
      </c>
      <c r="I383" s="16" t="n">
        <f aca="false">G383*H383*0.05</f>
        <v>15.17</v>
      </c>
      <c r="J383" s="16" t="n">
        <f aca="false">G383*H383*1.05</f>
        <v>318.57</v>
      </c>
      <c r="K383" s="17" t="n">
        <v>43501</v>
      </c>
      <c r="L383" s="14" t="s">
        <v>718</v>
      </c>
      <c r="M383" s="14" t="s">
        <v>26</v>
      </c>
      <c r="N383" s="16" t="n">
        <f aca="false">G383*H383</f>
        <v>303.4</v>
      </c>
      <c r="O383" s="18" t="n">
        <v>4.761904762</v>
      </c>
      <c r="P383" s="16" t="n">
        <f aca="false">I383</f>
        <v>15.17</v>
      </c>
      <c r="Q383" s="19" t="n">
        <v>7.7</v>
      </c>
      <c r="R383" s="0" t="str">
        <f aca="false">TEXT(K383,"mmm yyyy")</f>
        <v>Feb 2019</v>
      </c>
      <c r="S383" s="14" t="n">
        <f aca="false">HOUR(TIMEVALUE(L383))</f>
        <v>18</v>
      </c>
      <c r="T383" s="0" t="str">
        <f aca="false">IF(S383&lt;12,"Morning",IF(S383&lt;17,"Afternoon","Evening"))</f>
        <v>Evening</v>
      </c>
      <c r="U383" s="16" t="n">
        <f aca="false">G383*H383*0.05</f>
        <v>15.17</v>
      </c>
    </row>
    <row r="384" customFormat="false" ht="15" hidden="false" customHeight="false" outlineLevel="0" collapsed="false">
      <c r="A384" s="0" t="s">
        <v>719</v>
      </c>
      <c r="B384" s="0" t="s">
        <v>25</v>
      </c>
      <c r="C384" s="0" t="s">
        <v>68</v>
      </c>
      <c r="D384" s="0" t="s">
        <v>21</v>
      </c>
      <c r="E384" s="0" t="s">
        <v>60</v>
      </c>
      <c r="F384" s="0" t="s">
        <v>27</v>
      </c>
      <c r="G384" s="16" t="n">
        <v>88.37</v>
      </c>
      <c r="H384" s="0" t="n">
        <v>5</v>
      </c>
      <c r="I384" s="16" t="n">
        <f aca="false">G384*H384*0.05</f>
        <v>22.0925</v>
      </c>
      <c r="J384" s="16" t="n">
        <f aca="false">G384*H384*1.05</f>
        <v>463.9425</v>
      </c>
      <c r="K384" s="17" t="n">
        <v>43501</v>
      </c>
      <c r="L384" s="14" t="s">
        <v>77</v>
      </c>
      <c r="M384" s="14" t="s">
        <v>34</v>
      </c>
      <c r="N384" s="16" t="n">
        <f aca="false">G384*H384</f>
        <v>441.85</v>
      </c>
      <c r="O384" s="18" t="n">
        <v>4.761904762</v>
      </c>
      <c r="P384" s="16" t="n">
        <f aca="false">I384</f>
        <v>22.0925</v>
      </c>
      <c r="Q384" s="19" t="n">
        <v>9.9</v>
      </c>
      <c r="R384" s="0" t="str">
        <f aca="false">TEXT(K384,"mmm yyyy")</f>
        <v>Feb 2019</v>
      </c>
      <c r="S384" s="14" t="n">
        <f aca="false">HOUR(TIMEVALUE(L384))</f>
        <v>12</v>
      </c>
      <c r="T384" s="0" t="str">
        <f aca="false">IF(S384&lt;12,"Morning",IF(S384&lt;17,"Afternoon","Evening"))</f>
        <v>Afternoon</v>
      </c>
      <c r="U384" s="16" t="n">
        <f aca="false">G384*H384*0.05</f>
        <v>22.0925</v>
      </c>
    </row>
    <row r="385" customFormat="false" ht="15" hidden="false" customHeight="false" outlineLevel="0" collapsed="false">
      <c r="A385" s="0" t="s">
        <v>720</v>
      </c>
      <c r="B385" s="0" t="s">
        <v>33</v>
      </c>
      <c r="C385" s="0" t="s">
        <v>65</v>
      </c>
      <c r="D385" s="0" t="s">
        <v>21</v>
      </c>
      <c r="E385" s="0" t="s">
        <v>57</v>
      </c>
      <c r="F385" s="0" t="s">
        <v>35</v>
      </c>
      <c r="G385" s="16" t="n">
        <v>47.78</v>
      </c>
      <c r="H385" s="0" t="n">
        <v>6</v>
      </c>
      <c r="I385" s="16" t="n">
        <f aca="false">G385*H385*0.05</f>
        <v>14.334</v>
      </c>
      <c r="J385" s="16" t="n">
        <f aca="false">G385*H385*1.05</f>
        <v>301.014</v>
      </c>
      <c r="K385" s="17" t="n">
        <v>43501</v>
      </c>
      <c r="L385" s="14" t="s">
        <v>515</v>
      </c>
      <c r="M385" s="14" t="s">
        <v>26</v>
      </c>
      <c r="N385" s="16" t="n">
        <f aca="false">G385*H385</f>
        <v>286.68</v>
      </c>
      <c r="O385" s="18" t="n">
        <v>4.761904762</v>
      </c>
      <c r="P385" s="16" t="n">
        <f aca="false">I385</f>
        <v>14.334</v>
      </c>
      <c r="Q385" s="19" t="n">
        <v>8.2</v>
      </c>
      <c r="R385" s="0" t="str">
        <f aca="false">TEXT(K385,"mmm yyyy")</f>
        <v>Feb 2019</v>
      </c>
      <c r="S385" s="14" t="n">
        <f aca="false">HOUR(TIMEVALUE(L385))</f>
        <v>16</v>
      </c>
      <c r="T385" s="0" t="str">
        <f aca="false">IF(S385&lt;12,"Morning",IF(S385&lt;17,"Afternoon","Evening"))</f>
        <v>Afternoon</v>
      </c>
      <c r="U385" s="16" t="n">
        <f aca="false">G385*H385*0.05</f>
        <v>14.334</v>
      </c>
    </row>
    <row r="386" customFormat="false" ht="15" hidden="false" customHeight="false" outlineLevel="0" collapsed="false">
      <c r="A386" s="0" t="s">
        <v>721</v>
      </c>
      <c r="B386" s="0" t="s">
        <v>25</v>
      </c>
      <c r="C386" s="0" t="s">
        <v>68</v>
      </c>
      <c r="D386" s="0" t="s">
        <v>21</v>
      </c>
      <c r="E386" s="0" t="s">
        <v>60</v>
      </c>
      <c r="F386" s="0" t="s">
        <v>36</v>
      </c>
      <c r="G386" s="16" t="n">
        <v>24.78</v>
      </c>
      <c r="H386" s="0" t="n">
        <v>1</v>
      </c>
      <c r="I386" s="16" t="n">
        <f aca="false">G386*H386*0.05</f>
        <v>1.239</v>
      </c>
      <c r="J386" s="16" t="n">
        <f aca="false">G386*H386*1.05</f>
        <v>26.019</v>
      </c>
      <c r="K386" s="17" t="n">
        <v>43501</v>
      </c>
      <c r="L386" s="14" t="s">
        <v>321</v>
      </c>
      <c r="M386" s="14" t="s">
        <v>34</v>
      </c>
      <c r="N386" s="16" t="n">
        <f aca="false">G386*H386</f>
        <v>24.78</v>
      </c>
      <c r="O386" s="18" t="n">
        <v>4.761904762</v>
      </c>
      <c r="P386" s="16" t="n">
        <f aca="false">I386</f>
        <v>1.239</v>
      </c>
      <c r="Q386" s="19" t="n">
        <v>4.6</v>
      </c>
      <c r="R386" s="0" t="str">
        <f aca="false">TEXT(K386,"mmm yyyy")</f>
        <v>Feb 2019</v>
      </c>
      <c r="S386" s="14" t="n">
        <f aca="false">HOUR(TIMEVALUE(L386))</f>
        <v>18</v>
      </c>
      <c r="T386" s="0" t="str">
        <f aca="false">IF(S386&lt;12,"Morning",IF(S386&lt;17,"Afternoon","Evening"))</f>
        <v>Evening</v>
      </c>
      <c r="U386" s="16" t="n">
        <f aca="false">G386*H386*0.05</f>
        <v>1.239</v>
      </c>
    </row>
    <row r="387" customFormat="false" ht="15" hidden="false" customHeight="false" outlineLevel="0" collapsed="false">
      <c r="A387" s="0" t="s">
        <v>722</v>
      </c>
      <c r="B387" s="0" t="s">
        <v>33</v>
      </c>
      <c r="C387" s="0" t="s">
        <v>65</v>
      </c>
      <c r="D387" s="0" t="s">
        <v>21</v>
      </c>
      <c r="E387" s="0" t="s">
        <v>60</v>
      </c>
      <c r="F387" s="0" t="s">
        <v>31</v>
      </c>
      <c r="G387" s="16" t="n">
        <v>32.96</v>
      </c>
      <c r="H387" s="0" t="n">
        <v>3</v>
      </c>
      <c r="I387" s="16" t="n">
        <f aca="false">G387*H387*0.05</f>
        <v>4.944</v>
      </c>
      <c r="J387" s="16" t="n">
        <f aca="false">G387*H387*1.05</f>
        <v>103.824</v>
      </c>
      <c r="K387" s="17" t="n">
        <v>43501</v>
      </c>
      <c r="L387" s="14" t="s">
        <v>723</v>
      </c>
      <c r="M387" s="14" t="s">
        <v>26</v>
      </c>
      <c r="N387" s="16" t="n">
        <f aca="false">G387*H387</f>
        <v>98.88</v>
      </c>
      <c r="O387" s="18" t="n">
        <v>4.761904762</v>
      </c>
      <c r="P387" s="16" t="n">
        <f aca="false">I387</f>
        <v>4.944</v>
      </c>
      <c r="Q387" s="19" t="n">
        <v>7.7</v>
      </c>
      <c r="R387" s="0" t="str">
        <f aca="false">TEXT(K387,"mmm yyyy")</f>
        <v>Feb 2019</v>
      </c>
      <c r="S387" s="14" t="n">
        <f aca="false">HOUR(TIMEVALUE(L387))</f>
        <v>14</v>
      </c>
      <c r="T387" s="0" t="str">
        <f aca="false">IF(S387&lt;12,"Morning",IF(S387&lt;17,"Afternoon","Evening"))</f>
        <v>Afternoon</v>
      </c>
      <c r="U387" s="16" t="n">
        <f aca="false">G387*H387*0.05</f>
        <v>4.944</v>
      </c>
    </row>
    <row r="388" customFormat="false" ht="15" hidden="false" customHeight="false" outlineLevel="0" collapsed="false">
      <c r="A388" s="0" t="s">
        <v>724</v>
      </c>
      <c r="B388" s="0" t="s">
        <v>33</v>
      </c>
      <c r="C388" s="0" t="s">
        <v>65</v>
      </c>
      <c r="D388" s="0" t="s">
        <v>22</v>
      </c>
      <c r="E388" s="0" t="s">
        <v>60</v>
      </c>
      <c r="F388" s="0" t="s">
        <v>35</v>
      </c>
      <c r="G388" s="16" t="n">
        <v>63.87</v>
      </c>
      <c r="H388" s="0" t="n">
        <v>6</v>
      </c>
      <c r="I388" s="16" t="n">
        <f aca="false">G388*H388*0.05</f>
        <v>19.161</v>
      </c>
      <c r="J388" s="16" t="n">
        <f aca="false">G388*H388*1.05</f>
        <v>402.381</v>
      </c>
      <c r="K388" s="17" t="n">
        <v>43501</v>
      </c>
      <c r="L388" s="14" t="s">
        <v>325</v>
      </c>
      <c r="M388" s="14" t="s">
        <v>30</v>
      </c>
      <c r="N388" s="16" t="n">
        <f aca="false">G388*H388</f>
        <v>383.22</v>
      </c>
      <c r="O388" s="18" t="n">
        <v>4.761904762</v>
      </c>
      <c r="P388" s="16" t="n">
        <f aca="false">I388</f>
        <v>19.161</v>
      </c>
      <c r="Q388" s="19" t="n">
        <v>9.9</v>
      </c>
      <c r="R388" s="0" t="str">
        <f aca="false">TEXT(K388,"mmm yyyy")</f>
        <v>Feb 2019</v>
      </c>
      <c r="S388" s="14" t="n">
        <f aca="false">HOUR(TIMEVALUE(L388))</f>
        <v>11</v>
      </c>
      <c r="T388" s="0" t="str">
        <f aca="false">IF(S388&lt;12,"Morning",IF(S388&lt;17,"Afternoon","Evening"))</f>
        <v>Morning</v>
      </c>
      <c r="U388" s="16" t="n">
        <f aca="false">G388*H388*0.05</f>
        <v>19.161</v>
      </c>
    </row>
    <row r="389" customFormat="false" ht="15" hidden="false" customHeight="false" outlineLevel="0" collapsed="false">
      <c r="A389" s="0" t="s">
        <v>725</v>
      </c>
      <c r="B389" s="0" t="s">
        <v>29</v>
      </c>
      <c r="C389" s="0" t="s">
        <v>56</v>
      </c>
      <c r="D389" s="0" t="s">
        <v>22</v>
      </c>
      <c r="E389" s="0" t="s">
        <v>60</v>
      </c>
      <c r="F389" s="0" t="s">
        <v>27</v>
      </c>
      <c r="G389" s="16" t="n">
        <v>68.96</v>
      </c>
      <c r="H389" s="0" t="n">
        <v>8</v>
      </c>
      <c r="I389" s="16" t="n">
        <f aca="false">G389*H389*0.05</f>
        <v>27.584</v>
      </c>
      <c r="J389" s="16" t="n">
        <f aca="false">G389*H389*1.05</f>
        <v>579.264</v>
      </c>
      <c r="K389" s="17" t="n">
        <v>43501</v>
      </c>
      <c r="L389" s="14" t="s">
        <v>726</v>
      </c>
      <c r="M389" s="14" t="s">
        <v>34</v>
      </c>
      <c r="N389" s="16" t="n">
        <f aca="false">G389*H389</f>
        <v>551.68</v>
      </c>
      <c r="O389" s="18" t="n">
        <v>4.761904762</v>
      </c>
      <c r="P389" s="16" t="n">
        <f aca="false">I389</f>
        <v>27.584</v>
      </c>
      <c r="Q389" s="19" t="n">
        <v>6.7</v>
      </c>
      <c r="R389" s="0" t="str">
        <f aca="false">TEXT(K389,"mmm yyyy")</f>
        <v>Feb 2019</v>
      </c>
      <c r="S389" s="14" t="n">
        <f aca="false">HOUR(TIMEVALUE(L389))</f>
        <v>20</v>
      </c>
      <c r="T389" s="0" t="str">
        <f aca="false">IF(S389&lt;12,"Morning",IF(S389&lt;17,"Afternoon","Evening"))</f>
        <v>Evening</v>
      </c>
      <c r="U389" s="16" t="n">
        <f aca="false">G389*H389*0.05</f>
        <v>27.584</v>
      </c>
    </row>
    <row r="390" customFormat="false" ht="15" hidden="false" customHeight="false" outlineLevel="0" collapsed="false">
      <c r="A390" s="0" t="s">
        <v>727</v>
      </c>
      <c r="B390" s="0" t="s">
        <v>29</v>
      </c>
      <c r="C390" s="0" t="s">
        <v>56</v>
      </c>
      <c r="D390" s="0" t="s">
        <v>22</v>
      </c>
      <c r="E390" s="0" t="s">
        <v>60</v>
      </c>
      <c r="F390" s="0" t="s">
        <v>36</v>
      </c>
      <c r="G390" s="16" t="n">
        <v>35.95</v>
      </c>
      <c r="H390" s="0" t="n">
        <v>10</v>
      </c>
      <c r="I390" s="16" t="n">
        <f aca="false">G390*H390*0.05</f>
        <v>17.975</v>
      </c>
      <c r="J390" s="16" t="n">
        <f aca="false">G390*H390*1.05</f>
        <v>377.475</v>
      </c>
      <c r="K390" s="17" t="n">
        <v>43501</v>
      </c>
      <c r="L390" s="14" t="s">
        <v>548</v>
      </c>
      <c r="M390" s="14" t="s">
        <v>34</v>
      </c>
      <c r="N390" s="16" t="n">
        <f aca="false">G390*H390</f>
        <v>359.5</v>
      </c>
      <c r="O390" s="18" t="n">
        <v>4.761904762</v>
      </c>
      <c r="P390" s="16" t="n">
        <f aca="false">I390</f>
        <v>17.975</v>
      </c>
      <c r="Q390" s="19" t="n">
        <v>6.9</v>
      </c>
      <c r="R390" s="0" t="str">
        <f aca="false">TEXT(K390,"mmm yyyy")</f>
        <v>Feb 2019</v>
      </c>
      <c r="S390" s="14" t="n">
        <f aca="false">HOUR(TIMEVALUE(L390))</f>
        <v>11</v>
      </c>
      <c r="T390" s="0" t="str">
        <f aca="false">IF(S390&lt;12,"Morning",IF(S390&lt;17,"Afternoon","Evening"))</f>
        <v>Morning</v>
      </c>
      <c r="U390" s="16" t="n">
        <f aca="false">G390*H390*0.05</f>
        <v>17.975</v>
      </c>
    </row>
    <row r="391" customFormat="false" ht="15" hidden="false" customHeight="false" outlineLevel="0" collapsed="false">
      <c r="A391" s="0" t="s">
        <v>728</v>
      </c>
      <c r="B391" s="0" t="s">
        <v>33</v>
      </c>
      <c r="C391" s="0" t="s">
        <v>65</v>
      </c>
      <c r="D391" s="0" t="s">
        <v>21</v>
      </c>
      <c r="E391" s="0" t="s">
        <v>60</v>
      </c>
      <c r="F391" s="0" t="s">
        <v>31</v>
      </c>
      <c r="G391" s="16" t="n">
        <v>64.93</v>
      </c>
      <c r="H391" s="0" t="n">
        <v>3</v>
      </c>
      <c r="I391" s="16" t="n">
        <f aca="false">G391*H391*0.05</f>
        <v>9.7395</v>
      </c>
      <c r="J391" s="16" t="n">
        <f aca="false">G391*H391*1.05</f>
        <v>204.5295</v>
      </c>
      <c r="K391" s="17" t="n">
        <v>43501</v>
      </c>
      <c r="L391" s="14" t="s">
        <v>729</v>
      </c>
      <c r="M391" s="14" t="s">
        <v>26</v>
      </c>
      <c r="N391" s="16" t="n">
        <f aca="false">G391*H391</f>
        <v>194.79</v>
      </c>
      <c r="O391" s="18" t="n">
        <v>4.761904762</v>
      </c>
      <c r="P391" s="16" t="n">
        <f aca="false">I391</f>
        <v>9.7395</v>
      </c>
      <c r="Q391" s="19" t="n">
        <v>4.8</v>
      </c>
      <c r="R391" s="0" t="str">
        <f aca="false">TEXT(K391,"mmm yyyy")</f>
        <v>Feb 2019</v>
      </c>
      <c r="S391" s="14" t="n">
        <f aca="false">HOUR(TIMEVALUE(L391))</f>
        <v>10</v>
      </c>
      <c r="T391" s="0" t="str">
        <f aca="false">IF(S391&lt;12,"Morning",IF(S391&lt;17,"Afternoon","Evening"))</f>
        <v>Morning</v>
      </c>
      <c r="U391" s="16" t="n">
        <f aca="false">G391*H391*0.05</f>
        <v>9.7395</v>
      </c>
    </row>
    <row r="392" customFormat="false" ht="15" hidden="false" customHeight="false" outlineLevel="0" collapsed="false">
      <c r="A392" s="0" t="s">
        <v>730</v>
      </c>
      <c r="B392" s="0" t="s">
        <v>33</v>
      </c>
      <c r="C392" s="0" t="s">
        <v>65</v>
      </c>
      <c r="D392" s="0" t="s">
        <v>22</v>
      </c>
      <c r="E392" s="0" t="s">
        <v>57</v>
      </c>
      <c r="F392" s="0" t="s">
        <v>31</v>
      </c>
      <c r="G392" s="16" t="n">
        <v>27.77</v>
      </c>
      <c r="H392" s="0" t="n">
        <v>6</v>
      </c>
      <c r="I392" s="16" t="n">
        <f aca="false">G392*H392*0.05</f>
        <v>8.331</v>
      </c>
      <c r="J392" s="16" t="n">
        <f aca="false">G392*H392*1.05</f>
        <v>174.951</v>
      </c>
      <c r="K392" s="17" t="n">
        <v>43501</v>
      </c>
      <c r="L392" s="14" t="s">
        <v>731</v>
      </c>
      <c r="M392" s="14" t="s">
        <v>26</v>
      </c>
      <c r="N392" s="16" t="n">
        <f aca="false">G392*H392</f>
        <v>166.62</v>
      </c>
      <c r="O392" s="18" t="n">
        <v>4.761904762</v>
      </c>
      <c r="P392" s="16" t="n">
        <f aca="false">I392</f>
        <v>8.331</v>
      </c>
      <c r="Q392" s="19" t="n">
        <v>6.3</v>
      </c>
      <c r="R392" s="0" t="str">
        <f aca="false">TEXT(K392,"mmm yyyy")</f>
        <v>Feb 2019</v>
      </c>
      <c r="S392" s="14" t="n">
        <f aca="false">HOUR(TIMEVALUE(L392))</f>
        <v>11</v>
      </c>
      <c r="T392" s="0" t="str">
        <f aca="false">IF(S392&lt;12,"Morning",IF(S392&lt;17,"Afternoon","Evening"))</f>
        <v>Morning</v>
      </c>
      <c r="U392" s="16" t="n">
        <f aca="false">G392*H392*0.05</f>
        <v>8.331</v>
      </c>
    </row>
    <row r="393" customFormat="false" ht="15" hidden="false" customHeight="false" outlineLevel="0" collapsed="false">
      <c r="A393" s="0" t="s">
        <v>732</v>
      </c>
      <c r="B393" s="0" t="s">
        <v>25</v>
      </c>
      <c r="C393" s="0" t="s">
        <v>68</v>
      </c>
      <c r="D393" s="0" t="s">
        <v>22</v>
      </c>
      <c r="E393" s="0" t="s">
        <v>57</v>
      </c>
      <c r="F393" s="0" t="s">
        <v>36</v>
      </c>
      <c r="G393" s="16" t="n">
        <v>58</v>
      </c>
      <c r="H393" s="0" t="n">
        <v>10</v>
      </c>
      <c r="I393" s="16" t="n">
        <f aca="false">G393*H393*0.05</f>
        <v>29</v>
      </c>
      <c r="J393" s="16" t="n">
        <f aca="false">G393*H393*1.05</f>
        <v>609</v>
      </c>
      <c r="K393" s="17" t="n">
        <v>43501</v>
      </c>
      <c r="L393" s="14" t="s">
        <v>174</v>
      </c>
      <c r="M393" s="14" t="s">
        <v>34</v>
      </c>
      <c r="N393" s="16" t="n">
        <f aca="false">G393*H393</f>
        <v>580</v>
      </c>
      <c r="O393" s="18" t="n">
        <v>4.761904762</v>
      </c>
      <c r="P393" s="16" t="n">
        <f aca="false">I393</f>
        <v>29</v>
      </c>
      <c r="Q393" s="19" t="n">
        <v>7.3</v>
      </c>
      <c r="R393" s="0" t="str">
        <f aca="false">TEXT(K393,"mmm yyyy")</f>
        <v>Feb 2019</v>
      </c>
      <c r="S393" s="14" t="n">
        <f aca="false">HOUR(TIMEVALUE(L393))</f>
        <v>17</v>
      </c>
      <c r="T393" s="0" t="str">
        <f aca="false">IF(S393&lt;12,"Morning",IF(S393&lt;17,"Afternoon","Evening"))</f>
        <v>Evening</v>
      </c>
      <c r="U393" s="16" t="n">
        <f aca="false">G393*H393*0.05</f>
        <v>29</v>
      </c>
    </row>
    <row r="394" customFormat="false" ht="15" hidden="false" customHeight="false" outlineLevel="0" collapsed="false">
      <c r="A394" s="0" t="s">
        <v>733</v>
      </c>
      <c r="B394" s="0" t="s">
        <v>33</v>
      </c>
      <c r="C394" s="0" t="s">
        <v>65</v>
      </c>
      <c r="D394" s="0" t="s">
        <v>21</v>
      </c>
      <c r="E394" s="0" t="s">
        <v>57</v>
      </c>
      <c r="F394" s="0" t="s">
        <v>37</v>
      </c>
      <c r="G394" s="16" t="n">
        <v>50.26</v>
      </c>
      <c r="H394" s="0" t="n">
        <v>10</v>
      </c>
      <c r="I394" s="16" t="n">
        <f aca="false">G394*H394*0.05</f>
        <v>25.13</v>
      </c>
      <c r="J394" s="16" t="n">
        <f aca="false">G394*H394*1.05</f>
        <v>527.73</v>
      </c>
      <c r="K394" s="17" t="n">
        <v>43501</v>
      </c>
      <c r="L394" s="14" t="s">
        <v>734</v>
      </c>
      <c r="M394" s="14" t="s">
        <v>30</v>
      </c>
      <c r="N394" s="16" t="n">
        <f aca="false">G394*H394</f>
        <v>502.6</v>
      </c>
      <c r="O394" s="18" t="n">
        <v>4.761904762</v>
      </c>
      <c r="P394" s="16" t="n">
        <f aca="false">I394</f>
        <v>25.13</v>
      </c>
      <c r="Q394" s="19" t="n">
        <v>7.1</v>
      </c>
      <c r="R394" s="0" t="str">
        <f aca="false">TEXT(K394,"mmm yyyy")</f>
        <v>Feb 2019</v>
      </c>
      <c r="S394" s="14" t="n">
        <f aca="false">HOUR(TIMEVALUE(L394))</f>
        <v>14</v>
      </c>
      <c r="T394" s="0" t="str">
        <f aca="false">IF(S394&lt;12,"Morning",IF(S394&lt;17,"Afternoon","Evening"))</f>
        <v>Afternoon</v>
      </c>
      <c r="U394" s="16" t="n">
        <f aca="false">G394*H394*0.05</f>
        <v>25.13</v>
      </c>
    </row>
    <row r="395" customFormat="false" ht="15" hidden="false" customHeight="false" outlineLevel="0" collapsed="false">
      <c r="A395" s="0" t="s">
        <v>735</v>
      </c>
      <c r="B395" s="0" t="s">
        <v>29</v>
      </c>
      <c r="C395" s="0" t="s">
        <v>56</v>
      </c>
      <c r="D395" s="0" t="s">
        <v>21</v>
      </c>
      <c r="E395" s="0" t="s">
        <v>57</v>
      </c>
      <c r="F395" s="0" t="s">
        <v>23</v>
      </c>
      <c r="G395" s="16" t="n">
        <v>35.81</v>
      </c>
      <c r="H395" s="0" t="n">
        <v>4</v>
      </c>
      <c r="I395" s="16" t="n">
        <f aca="false">G395*H395*0.05</f>
        <v>7.162</v>
      </c>
      <c r="J395" s="16" t="n">
        <f aca="false">G395*H395*1.05</f>
        <v>150.402</v>
      </c>
      <c r="K395" s="17" t="n">
        <v>43501</v>
      </c>
      <c r="L395" s="14" t="s">
        <v>500</v>
      </c>
      <c r="M395" s="14" t="s">
        <v>30</v>
      </c>
      <c r="N395" s="16" t="n">
        <f aca="false">G395*H395</f>
        <v>143.24</v>
      </c>
      <c r="O395" s="18" t="n">
        <v>4.761904762</v>
      </c>
      <c r="P395" s="16" t="n">
        <f aca="false">I395</f>
        <v>7.162</v>
      </c>
      <c r="Q395" s="19" t="n">
        <v>4.4</v>
      </c>
      <c r="R395" s="0" t="str">
        <f aca="false">TEXT(K395,"mmm yyyy")</f>
        <v>Feb 2019</v>
      </c>
      <c r="S395" s="14" t="n">
        <f aca="false">HOUR(TIMEVALUE(L395))</f>
        <v>12</v>
      </c>
      <c r="T395" s="0" t="str">
        <f aca="false">IF(S395&lt;12,"Morning",IF(S395&lt;17,"Afternoon","Evening"))</f>
        <v>Afternoon</v>
      </c>
      <c r="U395" s="16" t="n">
        <f aca="false">G395*H395*0.05</f>
        <v>7.162</v>
      </c>
    </row>
    <row r="396" customFormat="false" ht="15" hidden="false" customHeight="false" outlineLevel="0" collapsed="false">
      <c r="A396" s="0" t="s">
        <v>736</v>
      </c>
      <c r="B396" s="0" t="s">
        <v>33</v>
      </c>
      <c r="C396" s="0" t="s">
        <v>65</v>
      </c>
      <c r="D396" s="0" t="s">
        <v>22</v>
      </c>
      <c r="E396" s="0" t="s">
        <v>57</v>
      </c>
      <c r="F396" s="0" t="s">
        <v>37</v>
      </c>
      <c r="G396" s="16" t="n">
        <v>21.42</v>
      </c>
      <c r="H396" s="0" t="n">
        <v>8</v>
      </c>
      <c r="I396" s="16" t="n">
        <f aca="false">G396*H396*0.05</f>
        <v>8.568</v>
      </c>
      <c r="J396" s="16" t="n">
        <f aca="false">G396*H396*1.05</f>
        <v>179.928</v>
      </c>
      <c r="K396" s="17" t="n">
        <v>43501</v>
      </c>
      <c r="L396" s="14" t="s">
        <v>276</v>
      </c>
      <c r="M396" s="14" t="s">
        <v>26</v>
      </c>
      <c r="N396" s="16" t="n">
        <f aca="false">G396*H396</f>
        <v>171.36</v>
      </c>
      <c r="O396" s="18" t="n">
        <v>4.761904762</v>
      </c>
      <c r="P396" s="16" t="n">
        <f aca="false">I396</f>
        <v>8.568</v>
      </c>
      <c r="Q396" s="19" t="n">
        <v>5.2</v>
      </c>
      <c r="R396" s="0" t="str">
        <f aca="false">TEXT(K396,"mmm yyyy")</f>
        <v>Feb 2019</v>
      </c>
      <c r="S396" s="14" t="n">
        <f aca="false">HOUR(TIMEVALUE(L396))</f>
        <v>13</v>
      </c>
      <c r="T396" s="0" t="str">
        <f aca="false">IF(S396&lt;12,"Morning",IF(S396&lt;17,"Afternoon","Evening"))</f>
        <v>Afternoon</v>
      </c>
      <c r="U396" s="16" t="n">
        <f aca="false">G396*H396*0.05</f>
        <v>8.568</v>
      </c>
    </row>
    <row r="397" customFormat="false" ht="15" hidden="false" customHeight="false" outlineLevel="0" collapsed="false">
      <c r="A397" s="0" t="s">
        <v>737</v>
      </c>
      <c r="B397" s="0" t="s">
        <v>29</v>
      </c>
      <c r="C397" s="0" t="s">
        <v>56</v>
      </c>
      <c r="D397" s="0" t="s">
        <v>22</v>
      </c>
      <c r="E397" s="0" t="s">
        <v>57</v>
      </c>
      <c r="F397" s="0" t="s">
        <v>36</v>
      </c>
      <c r="G397" s="16" t="n">
        <v>71.02</v>
      </c>
      <c r="H397" s="0" t="n">
        <v>10</v>
      </c>
      <c r="I397" s="16" t="n">
        <f aca="false">G397*H397*0.05</f>
        <v>35.51</v>
      </c>
      <c r="J397" s="16" t="n">
        <f aca="false">G397*H397*1.05</f>
        <v>745.71</v>
      </c>
      <c r="K397" s="17" t="n">
        <v>43501</v>
      </c>
      <c r="L397" s="14" t="s">
        <v>738</v>
      </c>
      <c r="M397" s="14" t="s">
        <v>34</v>
      </c>
      <c r="N397" s="16" t="n">
        <f aca="false">G397*H397</f>
        <v>710.2</v>
      </c>
      <c r="O397" s="18" t="n">
        <v>4.761904762</v>
      </c>
      <c r="P397" s="16" t="n">
        <f aca="false">I397</f>
        <v>35.51</v>
      </c>
      <c r="Q397" s="19" t="n">
        <v>8.1</v>
      </c>
      <c r="R397" s="0" t="str">
        <f aca="false">TEXT(K397,"mmm yyyy")</f>
        <v>Feb 2019</v>
      </c>
      <c r="S397" s="14" t="n">
        <f aca="false">HOUR(TIMEVALUE(L397))</f>
        <v>12</v>
      </c>
      <c r="T397" s="0" t="str">
        <f aca="false">IF(S397&lt;12,"Morning",IF(S397&lt;17,"Afternoon","Evening"))</f>
        <v>Afternoon</v>
      </c>
      <c r="U397" s="16" t="n">
        <f aca="false">G397*H397*0.05</f>
        <v>35.51</v>
      </c>
    </row>
    <row r="398" customFormat="false" ht="15" hidden="false" customHeight="false" outlineLevel="0" collapsed="false">
      <c r="A398" s="0" t="s">
        <v>739</v>
      </c>
      <c r="B398" s="0" t="s">
        <v>25</v>
      </c>
      <c r="C398" s="0" t="s">
        <v>68</v>
      </c>
      <c r="D398" s="0" t="s">
        <v>22</v>
      </c>
      <c r="E398" s="0" t="s">
        <v>57</v>
      </c>
      <c r="F398" s="0" t="s">
        <v>27</v>
      </c>
      <c r="G398" s="16" t="n">
        <v>50.61</v>
      </c>
      <c r="H398" s="0" t="n">
        <v>5</v>
      </c>
      <c r="I398" s="16" t="n">
        <f aca="false">G398*H398*0.05</f>
        <v>12.6525</v>
      </c>
      <c r="J398" s="16" t="n">
        <f aca="false">G398*H398*1.05</f>
        <v>265.7025</v>
      </c>
      <c r="K398" s="17" t="n">
        <v>43502</v>
      </c>
      <c r="L398" s="14" t="s">
        <v>740</v>
      </c>
      <c r="M398" s="14" t="s">
        <v>26</v>
      </c>
      <c r="N398" s="16" t="n">
        <f aca="false">G398*H398</f>
        <v>253.05</v>
      </c>
      <c r="O398" s="18" t="n">
        <v>4.761904762</v>
      </c>
      <c r="P398" s="16" t="n">
        <f aca="false">I398</f>
        <v>12.6525</v>
      </c>
      <c r="Q398" s="19" t="n">
        <v>9.7</v>
      </c>
      <c r="R398" s="0" t="str">
        <f aca="false">TEXT(K398,"mmm yyyy")</f>
        <v>Feb 2019</v>
      </c>
      <c r="S398" s="14" t="n">
        <f aca="false">HOUR(TIMEVALUE(L398))</f>
        <v>12</v>
      </c>
      <c r="T398" s="0" t="str">
        <f aca="false">IF(S398&lt;12,"Morning",IF(S398&lt;17,"Afternoon","Evening"))</f>
        <v>Afternoon</v>
      </c>
      <c r="U398" s="16" t="n">
        <f aca="false">G398*H398*0.05</f>
        <v>12.6525</v>
      </c>
    </row>
    <row r="399" customFormat="false" ht="15" hidden="false" customHeight="false" outlineLevel="0" collapsed="false">
      <c r="A399" s="0" t="s">
        <v>741</v>
      </c>
      <c r="B399" s="0" t="s">
        <v>33</v>
      </c>
      <c r="C399" s="0" t="s">
        <v>65</v>
      </c>
      <c r="D399" s="0" t="s">
        <v>22</v>
      </c>
      <c r="E399" s="0" t="s">
        <v>60</v>
      </c>
      <c r="F399" s="0" t="s">
        <v>35</v>
      </c>
      <c r="G399" s="16" t="n">
        <v>98.27</v>
      </c>
      <c r="H399" s="0" t="n">
        <v>5</v>
      </c>
      <c r="I399" s="16" t="n">
        <f aca="false">G399*H399*0.05</f>
        <v>24.5675</v>
      </c>
      <c r="J399" s="16" t="n">
        <f aca="false">G399*H399*1.05</f>
        <v>515.9175</v>
      </c>
      <c r="K399" s="17" t="n">
        <v>43502</v>
      </c>
      <c r="L399" s="14" t="s">
        <v>569</v>
      </c>
      <c r="M399" s="14" t="s">
        <v>30</v>
      </c>
      <c r="N399" s="16" t="n">
        <f aca="false">G399*H399</f>
        <v>491.35</v>
      </c>
      <c r="O399" s="18" t="n">
        <v>4.761904762</v>
      </c>
      <c r="P399" s="16" t="n">
        <f aca="false">I399</f>
        <v>24.5675</v>
      </c>
      <c r="Q399" s="19" t="n">
        <v>7.6</v>
      </c>
      <c r="R399" s="0" t="str">
        <f aca="false">TEXT(K399,"mmm yyyy")</f>
        <v>Feb 2019</v>
      </c>
      <c r="S399" s="14" t="n">
        <f aca="false">HOUR(TIMEVALUE(L399))</f>
        <v>13</v>
      </c>
      <c r="T399" s="0" t="str">
        <f aca="false">IF(S399&lt;12,"Morning",IF(S399&lt;17,"Afternoon","Evening"))</f>
        <v>Afternoon</v>
      </c>
      <c r="U399" s="16" t="n">
        <f aca="false">G399*H399*0.05</f>
        <v>24.5675</v>
      </c>
    </row>
    <row r="400" customFormat="false" ht="15" hidden="false" customHeight="false" outlineLevel="0" collapsed="false">
      <c r="A400" s="0" t="s">
        <v>742</v>
      </c>
      <c r="B400" s="0" t="s">
        <v>25</v>
      </c>
      <c r="C400" s="0" t="s">
        <v>68</v>
      </c>
      <c r="D400" s="0" t="s">
        <v>22</v>
      </c>
      <c r="E400" s="0" t="s">
        <v>57</v>
      </c>
      <c r="F400" s="0" t="s">
        <v>23</v>
      </c>
      <c r="G400" s="16" t="n">
        <v>72.42</v>
      </c>
      <c r="H400" s="0" t="n">
        <v>6</v>
      </c>
      <c r="I400" s="16" t="n">
        <f aca="false">G400*H400*0.05</f>
        <v>21.726</v>
      </c>
      <c r="J400" s="16" t="n">
        <f aca="false">G400*H400*1.05</f>
        <v>456.246</v>
      </c>
      <c r="K400" s="17" t="n">
        <v>43502</v>
      </c>
      <c r="L400" s="14" t="s">
        <v>743</v>
      </c>
      <c r="M400" s="14" t="s">
        <v>30</v>
      </c>
      <c r="N400" s="16" t="n">
        <f aca="false">G400*H400</f>
        <v>434.52</v>
      </c>
      <c r="O400" s="18" t="n">
        <v>4.761904762</v>
      </c>
      <c r="P400" s="16" t="n">
        <f aca="false">I400</f>
        <v>21.726</v>
      </c>
      <c r="Q400" s="19" t="n">
        <v>9.7</v>
      </c>
      <c r="R400" s="0" t="str">
        <f aca="false">TEXT(K400,"mmm yyyy")</f>
        <v>Feb 2019</v>
      </c>
      <c r="S400" s="14" t="n">
        <f aca="false">HOUR(TIMEVALUE(L400))</f>
        <v>20</v>
      </c>
      <c r="T400" s="0" t="str">
        <f aca="false">IF(S400&lt;12,"Morning",IF(S400&lt;17,"Afternoon","Evening"))</f>
        <v>Evening</v>
      </c>
      <c r="U400" s="16" t="n">
        <f aca="false">G400*H400*0.05</f>
        <v>21.726</v>
      </c>
    </row>
    <row r="401" customFormat="false" ht="15" hidden="false" customHeight="false" outlineLevel="0" collapsed="false">
      <c r="A401" s="0" t="s">
        <v>744</v>
      </c>
      <c r="B401" s="0" t="s">
        <v>33</v>
      </c>
      <c r="C401" s="0" t="s">
        <v>65</v>
      </c>
      <c r="D401" s="0" t="s">
        <v>22</v>
      </c>
      <c r="E401" s="0" t="s">
        <v>60</v>
      </c>
      <c r="F401" s="0" t="s">
        <v>23</v>
      </c>
      <c r="G401" s="16" t="n">
        <v>38.77</v>
      </c>
      <c r="H401" s="0" t="n">
        <v>8</v>
      </c>
      <c r="I401" s="16" t="n">
        <f aca="false">G401*H401*0.05</f>
        <v>15.508</v>
      </c>
      <c r="J401" s="16" t="n">
        <f aca="false">G401*H401*1.05</f>
        <v>325.668</v>
      </c>
      <c r="K401" s="17" t="n">
        <v>43502</v>
      </c>
      <c r="L401" s="14" t="s">
        <v>745</v>
      </c>
      <c r="M401" s="14" t="s">
        <v>34</v>
      </c>
      <c r="N401" s="16" t="n">
        <f aca="false">G401*H401</f>
        <v>310.16</v>
      </c>
      <c r="O401" s="18" t="n">
        <v>4.761904762</v>
      </c>
      <c r="P401" s="16" t="n">
        <f aca="false">I401</f>
        <v>15.508</v>
      </c>
      <c r="Q401" s="19" t="n">
        <v>5.6</v>
      </c>
      <c r="R401" s="0" t="str">
        <f aca="false">TEXT(K401,"mmm yyyy")</f>
        <v>Feb 2019</v>
      </c>
      <c r="S401" s="14" t="n">
        <f aca="false">HOUR(TIMEVALUE(L401))</f>
        <v>20</v>
      </c>
      <c r="T401" s="0" t="str">
        <f aca="false">IF(S401&lt;12,"Morning",IF(S401&lt;17,"Afternoon","Evening"))</f>
        <v>Evening</v>
      </c>
      <c r="U401" s="16" t="n">
        <f aca="false">G401*H401*0.05</f>
        <v>15.508</v>
      </c>
    </row>
    <row r="402" customFormat="false" ht="15" hidden="false" customHeight="false" outlineLevel="0" collapsed="false">
      <c r="A402" s="0" t="s">
        <v>746</v>
      </c>
      <c r="B402" s="0" t="s">
        <v>25</v>
      </c>
      <c r="C402" s="0" t="s">
        <v>68</v>
      </c>
      <c r="D402" s="0" t="s">
        <v>22</v>
      </c>
      <c r="E402" s="0" t="s">
        <v>60</v>
      </c>
      <c r="F402" s="0" t="s">
        <v>37</v>
      </c>
      <c r="G402" s="16" t="n">
        <v>34.35</v>
      </c>
      <c r="H402" s="0" t="n">
        <v>3</v>
      </c>
      <c r="I402" s="16" t="n">
        <f aca="false">G402*H402*0.05</f>
        <v>5.1525</v>
      </c>
      <c r="J402" s="16" t="n">
        <f aca="false">G402*H402*1.05</f>
        <v>108.2025</v>
      </c>
      <c r="K402" s="17" t="n">
        <v>43502</v>
      </c>
      <c r="L402" s="14" t="s">
        <v>340</v>
      </c>
      <c r="M402" s="14" t="s">
        <v>26</v>
      </c>
      <c r="N402" s="16" t="n">
        <f aca="false">G402*H402</f>
        <v>103.05</v>
      </c>
      <c r="O402" s="18" t="n">
        <v>4.761904762</v>
      </c>
      <c r="P402" s="16" t="n">
        <f aca="false">I402</f>
        <v>5.1525</v>
      </c>
      <c r="Q402" s="19" t="n">
        <v>5.5</v>
      </c>
      <c r="R402" s="0" t="str">
        <f aca="false">TEXT(K402,"mmm yyyy")</f>
        <v>Feb 2019</v>
      </c>
      <c r="S402" s="14" t="n">
        <f aca="false">HOUR(TIMEVALUE(L402))</f>
        <v>20</v>
      </c>
      <c r="T402" s="0" t="str">
        <f aca="false">IF(S402&lt;12,"Morning",IF(S402&lt;17,"Afternoon","Evening"))</f>
        <v>Evening</v>
      </c>
      <c r="U402" s="16" t="n">
        <f aca="false">G402*H402*0.05</f>
        <v>5.1525</v>
      </c>
    </row>
    <row r="403" customFormat="false" ht="15" hidden="false" customHeight="false" outlineLevel="0" collapsed="false">
      <c r="A403" s="0" t="s">
        <v>747</v>
      </c>
      <c r="B403" s="0" t="s">
        <v>25</v>
      </c>
      <c r="C403" s="0" t="s">
        <v>68</v>
      </c>
      <c r="D403" s="0" t="s">
        <v>21</v>
      </c>
      <c r="E403" s="0" t="s">
        <v>57</v>
      </c>
      <c r="F403" s="0" t="s">
        <v>27</v>
      </c>
      <c r="G403" s="16" t="n">
        <v>26.54</v>
      </c>
      <c r="H403" s="0" t="n">
        <v>8</v>
      </c>
      <c r="I403" s="16" t="n">
        <f aca="false">G403*H403*0.05</f>
        <v>10.616</v>
      </c>
      <c r="J403" s="16" t="n">
        <f aca="false">G403*H403*1.05</f>
        <v>222.936</v>
      </c>
      <c r="K403" s="17" t="n">
        <v>43502</v>
      </c>
      <c r="L403" s="14" t="s">
        <v>316</v>
      </c>
      <c r="M403" s="14" t="s">
        <v>26</v>
      </c>
      <c r="N403" s="16" t="n">
        <f aca="false">G403*H403</f>
        <v>212.32</v>
      </c>
      <c r="O403" s="18" t="n">
        <v>4.761904762</v>
      </c>
      <c r="P403" s="16" t="n">
        <f aca="false">I403</f>
        <v>10.616</v>
      </c>
      <c r="Q403" s="19" t="n">
        <v>5.9</v>
      </c>
      <c r="R403" s="0" t="str">
        <f aca="false">TEXT(K403,"mmm yyyy")</f>
        <v>Feb 2019</v>
      </c>
      <c r="S403" s="14" t="n">
        <f aca="false">HOUR(TIMEVALUE(L403))</f>
        <v>13</v>
      </c>
      <c r="T403" s="0" t="str">
        <f aca="false">IF(S403&lt;12,"Morning",IF(S403&lt;17,"Afternoon","Evening"))</f>
        <v>Afternoon</v>
      </c>
      <c r="U403" s="16" t="n">
        <f aca="false">G403*H403*0.05</f>
        <v>10.616</v>
      </c>
    </row>
    <row r="404" customFormat="false" ht="15" hidden="false" customHeight="false" outlineLevel="0" collapsed="false">
      <c r="A404" s="0" t="s">
        <v>748</v>
      </c>
      <c r="B404" s="0" t="s">
        <v>29</v>
      </c>
      <c r="C404" s="0" t="s">
        <v>56</v>
      </c>
      <c r="D404" s="0" t="s">
        <v>21</v>
      </c>
      <c r="E404" s="0" t="s">
        <v>60</v>
      </c>
      <c r="F404" s="0" t="s">
        <v>27</v>
      </c>
      <c r="G404" s="16" t="n">
        <v>72.27</v>
      </c>
      <c r="H404" s="0" t="n">
        <v>7</v>
      </c>
      <c r="I404" s="16" t="n">
        <f aca="false">G404*H404*0.05</f>
        <v>25.2945</v>
      </c>
      <c r="J404" s="16" t="n">
        <f aca="false">G404*H404*1.05</f>
        <v>531.1845</v>
      </c>
      <c r="K404" s="17" t="n">
        <v>43502</v>
      </c>
      <c r="L404" s="14" t="s">
        <v>749</v>
      </c>
      <c r="M404" s="14" t="s">
        <v>26</v>
      </c>
      <c r="N404" s="16" t="n">
        <f aca="false">G404*H404</f>
        <v>505.89</v>
      </c>
      <c r="O404" s="18" t="n">
        <v>4.761904762</v>
      </c>
      <c r="P404" s="16" t="n">
        <f aca="false">I404</f>
        <v>25.2945</v>
      </c>
      <c r="Q404" s="19" t="n">
        <v>7.6</v>
      </c>
      <c r="R404" s="0" t="str">
        <f aca="false">TEXT(K404,"mmm yyyy")</f>
        <v>Feb 2019</v>
      </c>
      <c r="S404" s="14" t="n">
        <f aca="false">HOUR(TIMEVALUE(L404))</f>
        <v>19</v>
      </c>
      <c r="T404" s="0" t="str">
        <f aca="false">IF(S404&lt;12,"Morning",IF(S404&lt;17,"Afternoon","Evening"))</f>
        <v>Evening</v>
      </c>
      <c r="U404" s="16" t="n">
        <f aca="false">G404*H404*0.05</f>
        <v>25.2945</v>
      </c>
    </row>
    <row r="405" customFormat="false" ht="15" hidden="false" customHeight="false" outlineLevel="0" collapsed="false">
      <c r="A405" s="0" t="s">
        <v>750</v>
      </c>
      <c r="B405" s="0" t="s">
        <v>33</v>
      </c>
      <c r="C405" s="0" t="s">
        <v>65</v>
      </c>
      <c r="D405" s="0" t="s">
        <v>22</v>
      </c>
      <c r="E405" s="0" t="s">
        <v>60</v>
      </c>
      <c r="F405" s="0" t="s">
        <v>37</v>
      </c>
      <c r="G405" s="16" t="n">
        <v>69.08</v>
      </c>
      <c r="H405" s="0" t="n">
        <v>7</v>
      </c>
      <c r="I405" s="16" t="n">
        <f aca="false">G405*H405*0.05</f>
        <v>24.178</v>
      </c>
      <c r="J405" s="16" t="n">
        <f aca="false">G405*H405*1.05</f>
        <v>507.738</v>
      </c>
      <c r="K405" s="17" t="n">
        <v>43502</v>
      </c>
      <c r="L405" s="14" t="s">
        <v>120</v>
      </c>
      <c r="M405" s="14" t="s">
        <v>30</v>
      </c>
      <c r="N405" s="16" t="n">
        <f aca="false">G405*H405</f>
        <v>483.56</v>
      </c>
      <c r="O405" s="18" t="n">
        <v>4.761904762</v>
      </c>
      <c r="P405" s="16" t="n">
        <f aca="false">I405</f>
        <v>24.178</v>
      </c>
      <c r="Q405" s="19" t="n">
        <v>4.7</v>
      </c>
      <c r="R405" s="0" t="str">
        <f aca="false">TEXT(K405,"mmm yyyy")</f>
        <v>Feb 2019</v>
      </c>
      <c r="S405" s="14" t="n">
        <f aca="false">HOUR(TIMEVALUE(L405))</f>
        <v>20</v>
      </c>
      <c r="T405" s="0" t="str">
        <f aca="false">IF(S405&lt;12,"Morning",IF(S405&lt;17,"Afternoon","Evening"))</f>
        <v>Evening</v>
      </c>
      <c r="U405" s="16" t="n">
        <f aca="false">G405*H405*0.05</f>
        <v>24.178</v>
      </c>
    </row>
    <row r="406" customFormat="false" ht="15" hidden="false" customHeight="false" outlineLevel="0" collapsed="false">
      <c r="A406" s="0" t="s">
        <v>751</v>
      </c>
      <c r="B406" s="0" t="s">
        <v>29</v>
      </c>
      <c r="C406" s="0" t="s">
        <v>56</v>
      </c>
      <c r="D406" s="0" t="s">
        <v>22</v>
      </c>
      <c r="E406" s="0" t="s">
        <v>57</v>
      </c>
      <c r="F406" s="0" t="s">
        <v>35</v>
      </c>
      <c r="G406" s="16" t="n">
        <v>56.87</v>
      </c>
      <c r="H406" s="0" t="n">
        <v>5</v>
      </c>
      <c r="I406" s="16" t="n">
        <f aca="false">G406*H406*0.05</f>
        <v>14.2175</v>
      </c>
      <c r="J406" s="16" t="n">
        <f aca="false">G406*H406*1.05</f>
        <v>298.5675</v>
      </c>
      <c r="K406" s="17" t="n">
        <v>43502</v>
      </c>
      <c r="L406" s="14" t="s">
        <v>752</v>
      </c>
      <c r="M406" s="14" t="s">
        <v>30</v>
      </c>
      <c r="N406" s="16" t="n">
        <f aca="false">G406*H406</f>
        <v>284.35</v>
      </c>
      <c r="O406" s="18" t="n">
        <v>4.761904762</v>
      </c>
      <c r="P406" s="16" t="n">
        <f aca="false">I406</f>
        <v>14.2175</v>
      </c>
      <c r="Q406" s="19" t="n">
        <v>9.4</v>
      </c>
      <c r="R406" s="0" t="str">
        <f aca="false">TEXT(K406,"mmm yyyy")</f>
        <v>Feb 2019</v>
      </c>
      <c r="S406" s="14" t="n">
        <f aca="false">HOUR(TIMEVALUE(L406))</f>
        <v>10</v>
      </c>
      <c r="T406" s="0" t="str">
        <f aca="false">IF(S406&lt;12,"Morning",IF(S406&lt;17,"Afternoon","Evening"))</f>
        <v>Morning</v>
      </c>
      <c r="U406" s="16" t="n">
        <f aca="false">G406*H406*0.05</f>
        <v>14.2175</v>
      </c>
    </row>
    <row r="407" customFormat="false" ht="15" hidden="false" customHeight="false" outlineLevel="0" collapsed="false">
      <c r="A407" s="0" t="s">
        <v>753</v>
      </c>
      <c r="B407" s="0" t="s">
        <v>25</v>
      </c>
      <c r="C407" s="0" t="s">
        <v>68</v>
      </c>
      <c r="D407" s="0" t="s">
        <v>21</v>
      </c>
      <c r="E407" s="0" t="s">
        <v>60</v>
      </c>
      <c r="F407" s="0" t="s">
        <v>37</v>
      </c>
      <c r="G407" s="16" t="n">
        <v>10.35</v>
      </c>
      <c r="H407" s="0" t="n">
        <v>6</v>
      </c>
      <c r="I407" s="16" t="n">
        <f aca="false">G407*H407*0.05</f>
        <v>3.105</v>
      </c>
      <c r="J407" s="16" t="n">
        <f aca="false">G407*H407*1.05</f>
        <v>65.205</v>
      </c>
      <c r="K407" s="17" t="n">
        <v>43502</v>
      </c>
      <c r="L407" s="14" t="s">
        <v>754</v>
      </c>
      <c r="M407" s="14" t="s">
        <v>34</v>
      </c>
      <c r="N407" s="16" t="n">
        <f aca="false">G407*H407</f>
        <v>62.1</v>
      </c>
      <c r="O407" s="18" t="n">
        <v>4.761904762</v>
      </c>
      <c r="P407" s="16" t="n">
        <f aca="false">I407</f>
        <v>3.105</v>
      </c>
      <c r="Q407" s="19" t="n">
        <v>4.6</v>
      </c>
      <c r="R407" s="0" t="str">
        <f aca="false">TEXT(K407,"mmm yyyy")</f>
        <v>Feb 2019</v>
      </c>
      <c r="S407" s="14" t="n">
        <f aca="false">HOUR(TIMEVALUE(L407))</f>
        <v>19</v>
      </c>
      <c r="T407" s="0" t="str">
        <f aca="false">IF(S407&lt;12,"Morning",IF(S407&lt;17,"Afternoon","Evening"))</f>
        <v>Evening</v>
      </c>
      <c r="U407" s="16" t="n">
        <f aca="false">G407*H407*0.05</f>
        <v>3.105</v>
      </c>
    </row>
    <row r="408" customFormat="false" ht="15" hidden="false" customHeight="false" outlineLevel="0" collapsed="false">
      <c r="A408" s="0" t="s">
        <v>755</v>
      </c>
      <c r="B408" s="0" t="s">
        <v>29</v>
      </c>
      <c r="C408" s="0" t="s">
        <v>56</v>
      </c>
      <c r="D408" s="0" t="s">
        <v>22</v>
      </c>
      <c r="E408" s="0" t="s">
        <v>60</v>
      </c>
      <c r="F408" s="0" t="s">
        <v>27</v>
      </c>
      <c r="G408" s="16" t="n">
        <v>39.86</v>
      </c>
      <c r="H408" s="0" t="n">
        <v>4</v>
      </c>
      <c r="I408" s="16" t="n">
        <f aca="false">G408*H408*0.05</f>
        <v>7.972</v>
      </c>
      <c r="J408" s="16" t="n">
        <f aca="false">G408*H408*1.05</f>
        <v>167.412</v>
      </c>
      <c r="K408" s="17" t="n">
        <v>43502</v>
      </c>
      <c r="L408" s="14" t="s">
        <v>652</v>
      </c>
      <c r="M408" s="14" t="s">
        <v>34</v>
      </c>
      <c r="N408" s="16" t="n">
        <f aca="false">G408*H408</f>
        <v>159.44</v>
      </c>
      <c r="O408" s="18" t="n">
        <v>4.761904762</v>
      </c>
      <c r="P408" s="16" t="n">
        <f aca="false">I408</f>
        <v>7.972</v>
      </c>
      <c r="Q408" s="19" t="n">
        <v>6.3</v>
      </c>
      <c r="R408" s="0" t="str">
        <f aca="false">TEXT(K408,"mmm yyyy")</f>
        <v>Feb 2019</v>
      </c>
      <c r="S408" s="14" t="n">
        <f aca="false">HOUR(TIMEVALUE(L408))</f>
        <v>20</v>
      </c>
      <c r="T408" s="0" t="str">
        <f aca="false">IF(S408&lt;12,"Morning",IF(S408&lt;17,"Afternoon","Evening"))</f>
        <v>Evening</v>
      </c>
      <c r="U408" s="16" t="n">
        <f aca="false">G408*H408*0.05</f>
        <v>7.972</v>
      </c>
    </row>
    <row r="409" customFormat="false" ht="15" hidden="false" customHeight="false" outlineLevel="0" collapsed="false">
      <c r="A409" s="0" t="s">
        <v>756</v>
      </c>
      <c r="B409" s="0" t="s">
        <v>29</v>
      </c>
      <c r="C409" s="0" t="s">
        <v>56</v>
      </c>
      <c r="D409" s="0" t="s">
        <v>21</v>
      </c>
      <c r="E409" s="0" t="s">
        <v>60</v>
      </c>
      <c r="F409" s="0" t="s">
        <v>37</v>
      </c>
      <c r="G409" s="16" t="n">
        <v>92.26</v>
      </c>
      <c r="H409" s="0" t="n">
        <v>8</v>
      </c>
      <c r="I409" s="16" t="n">
        <f aca="false">G409*H409*0.05</f>
        <v>36.904</v>
      </c>
      <c r="J409" s="16" t="n">
        <f aca="false">G409*H409*1.05</f>
        <v>774.984</v>
      </c>
      <c r="K409" s="17" t="n">
        <v>43502</v>
      </c>
      <c r="L409" s="14" t="s">
        <v>757</v>
      </c>
      <c r="M409" s="14" t="s">
        <v>26</v>
      </c>
      <c r="N409" s="16" t="n">
        <f aca="false">G409*H409</f>
        <v>738.08</v>
      </c>
      <c r="O409" s="18" t="n">
        <v>4.761904762</v>
      </c>
      <c r="P409" s="16" t="n">
        <f aca="false">I409</f>
        <v>36.904</v>
      </c>
      <c r="Q409" s="19" t="n">
        <v>8.3</v>
      </c>
      <c r="R409" s="0" t="str">
        <f aca="false">TEXT(K409,"mmm yyyy")</f>
        <v>Feb 2019</v>
      </c>
      <c r="S409" s="14" t="n">
        <f aca="false">HOUR(TIMEVALUE(L409))</f>
        <v>11</v>
      </c>
      <c r="T409" s="0" t="str">
        <f aca="false">IF(S409&lt;12,"Morning",IF(S409&lt;17,"Afternoon","Evening"))</f>
        <v>Morning</v>
      </c>
      <c r="U409" s="16" t="n">
        <f aca="false">G409*H409*0.05</f>
        <v>36.904</v>
      </c>
    </row>
    <row r="410" customFormat="false" ht="15" hidden="false" customHeight="false" outlineLevel="0" collapsed="false">
      <c r="A410" s="0" t="s">
        <v>758</v>
      </c>
      <c r="B410" s="0" t="s">
        <v>25</v>
      </c>
      <c r="C410" s="0" t="s">
        <v>68</v>
      </c>
      <c r="D410" s="0" t="s">
        <v>22</v>
      </c>
      <c r="E410" s="0" t="s">
        <v>60</v>
      </c>
      <c r="F410" s="0" t="s">
        <v>23</v>
      </c>
      <c r="G410" s="16" t="n">
        <v>95.33</v>
      </c>
      <c r="H410" s="0" t="n">
        <v>1</v>
      </c>
      <c r="I410" s="16" t="n">
        <f aca="false">G410*H410*0.05</f>
        <v>4.7665</v>
      </c>
      <c r="J410" s="16" t="n">
        <f aca="false">G410*H410*1.05</f>
        <v>100.0965</v>
      </c>
      <c r="K410" s="17" t="n">
        <v>43502</v>
      </c>
      <c r="L410" s="14" t="s">
        <v>759</v>
      </c>
      <c r="M410" s="14" t="s">
        <v>30</v>
      </c>
      <c r="N410" s="16" t="n">
        <f aca="false">G410*H410</f>
        <v>95.33</v>
      </c>
      <c r="O410" s="18" t="n">
        <v>4.761904762</v>
      </c>
      <c r="P410" s="16" t="n">
        <f aca="false">I410</f>
        <v>4.7665</v>
      </c>
      <c r="Q410" s="19" t="n">
        <v>8.4</v>
      </c>
      <c r="R410" s="0" t="str">
        <f aca="false">TEXT(K410,"mmm yyyy")</f>
        <v>Feb 2019</v>
      </c>
      <c r="S410" s="14" t="n">
        <f aca="false">HOUR(TIMEVALUE(L410))</f>
        <v>16</v>
      </c>
      <c r="T410" s="0" t="str">
        <f aca="false">IF(S410&lt;12,"Morning",IF(S410&lt;17,"Afternoon","Evening"))</f>
        <v>Afternoon</v>
      </c>
      <c r="U410" s="16" t="n">
        <f aca="false">G410*H410*0.05</f>
        <v>4.7665</v>
      </c>
    </row>
    <row r="411" customFormat="false" ht="15" hidden="false" customHeight="false" outlineLevel="0" collapsed="false">
      <c r="A411" s="0" t="s">
        <v>760</v>
      </c>
      <c r="B411" s="0" t="s">
        <v>25</v>
      </c>
      <c r="C411" s="0" t="s">
        <v>68</v>
      </c>
      <c r="D411" s="0" t="s">
        <v>22</v>
      </c>
      <c r="E411" s="0" t="s">
        <v>57</v>
      </c>
      <c r="F411" s="0" t="s">
        <v>31</v>
      </c>
      <c r="G411" s="16" t="n">
        <v>32.48</v>
      </c>
      <c r="H411" s="0" t="n">
        <v>9</v>
      </c>
      <c r="I411" s="16" t="n">
        <f aca="false">G411*H411*0.05</f>
        <v>14.616</v>
      </c>
      <c r="J411" s="16" t="n">
        <f aca="false">G411*H411*1.05</f>
        <v>306.936</v>
      </c>
      <c r="K411" s="17" t="n">
        <v>43502</v>
      </c>
      <c r="L411" s="14" t="s">
        <v>106</v>
      </c>
      <c r="M411" s="14" t="s">
        <v>26</v>
      </c>
      <c r="N411" s="16" t="n">
        <f aca="false">G411*H411</f>
        <v>292.32</v>
      </c>
      <c r="O411" s="18" t="n">
        <v>4.761904762</v>
      </c>
      <c r="P411" s="16" t="n">
        <f aca="false">I411</f>
        <v>14.616</v>
      </c>
      <c r="Q411" s="19" t="n">
        <v>10</v>
      </c>
      <c r="R411" s="0" t="str">
        <f aca="false">TEXT(K411,"mmm yyyy")</f>
        <v>Feb 2019</v>
      </c>
      <c r="S411" s="14" t="n">
        <f aca="false">HOUR(TIMEVALUE(L411))</f>
        <v>16</v>
      </c>
      <c r="T411" s="0" t="str">
        <f aca="false">IF(S411&lt;12,"Morning",IF(S411&lt;17,"Afternoon","Evening"))</f>
        <v>Afternoon</v>
      </c>
      <c r="U411" s="16" t="n">
        <f aca="false">G411*H411*0.05</f>
        <v>14.616</v>
      </c>
    </row>
    <row r="412" customFormat="false" ht="15" hidden="false" customHeight="false" outlineLevel="0" collapsed="false">
      <c r="A412" s="0" t="s">
        <v>761</v>
      </c>
      <c r="B412" s="0" t="s">
        <v>25</v>
      </c>
      <c r="C412" s="0" t="s">
        <v>68</v>
      </c>
      <c r="D412" s="0" t="s">
        <v>22</v>
      </c>
      <c r="E412" s="0" t="s">
        <v>60</v>
      </c>
      <c r="F412" s="0" t="s">
        <v>35</v>
      </c>
      <c r="G412" s="16" t="n">
        <v>72.84</v>
      </c>
      <c r="H412" s="0" t="n">
        <v>3</v>
      </c>
      <c r="I412" s="16" t="n">
        <f aca="false">G412*H412*0.05</f>
        <v>10.926</v>
      </c>
      <c r="J412" s="16" t="n">
        <f aca="false">G412*H412*1.05</f>
        <v>229.446</v>
      </c>
      <c r="K412" s="17" t="n">
        <v>43502</v>
      </c>
      <c r="L412" s="14" t="s">
        <v>312</v>
      </c>
      <c r="M412" s="14" t="s">
        <v>26</v>
      </c>
      <c r="N412" s="16" t="n">
        <f aca="false">G412*H412</f>
        <v>218.52</v>
      </c>
      <c r="O412" s="18" t="n">
        <v>4.761904762</v>
      </c>
      <c r="P412" s="16" t="n">
        <f aca="false">I412</f>
        <v>10.926</v>
      </c>
      <c r="Q412" s="19" t="n">
        <v>8.5</v>
      </c>
      <c r="R412" s="0" t="str">
        <f aca="false">TEXT(K412,"mmm yyyy")</f>
        <v>Feb 2019</v>
      </c>
      <c r="S412" s="14" t="n">
        <f aca="false">HOUR(TIMEVALUE(L412))</f>
        <v>18</v>
      </c>
      <c r="T412" s="0" t="str">
        <f aca="false">IF(S412&lt;12,"Morning",IF(S412&lt;17,"Afternoon","Evening"))</f>
        <v>Evening</v>
      </c>
      <c r="U412" s="16" t="n">
        <f aca="false">G412*H412*0.05</f>
        <v>10.926</v>
      </c>
    </row>
    <row r="413" customFormat="false" ht="15" hidden="false" customHeight="false" outlineLevel="0" collapsed="false">
      <c r="A413" s="0" t="s">
        <v>762</v>
      </c>
      <c r="B413" s="0" t="s">
        <v>25</v>
      </c>
      <c r="C413" s="0" t="s">
        <v>68</v>
      </c>
      <c r="D413" s="0" t="s">
        <v>22</v>
      </c>
      <c r="E413" s="0" t="s">
        <v>60</v>
      </c>
      <c r="F413" s="0" t="s">
        <v>31</v>
      </c>
      <c r="G413" s="16" t="n">
        <v>60.33</v>
      </c>
      <c r="H413" s="0" t="n">
        <v>3</v>
      </c>
      <c r="I413" s="16" t="n">
        <f aca="false">G413*H413*0.05</f>
        <v>9.0495</v>
      </c>
      <c r="J413" s="16" t="n">
        <f aca="false">G413*H413*1.05</f>
        <v>190.0395</v>
      </c>
      <c r="K413" s="17" t="n">
        <v>43502</v>
      </c>
      <c r="L413" s="14" t="s">
        <v>79</v>
      </c>
      <c r="M413" s="14" t="s">
        <v>30</v>
      </c>
      <c r="N413" s="16" t="n">
        <f aca="false">G413*H413</f>
        <v>180.99</v>
      </c>
      <c r="O413" s="18" t="n">
        <v>4.761904762</v>
      </c>
      <c r="P413" s="16" t="n">
        <f aca="false">I413</f>
        <v>9.0495</v>
      </c>
      <c r="Q413" s="19" t="n">
        <v>9.8</v>
      </c>
      <c r="R413" s="0" t="str">
        <f aca="false">TEXT(K413,"mmm yyyy")</f>
        <v>Feb 2019</v>
      </c>
      <c r="S413" s="14" t="n">
        <f aca="false">HOUR(TIMEVALUE(L413))</f>
        <v>12</v>
      </c>
      <c r="T413" s="0" t="str">
        <f aca="false">IF(S413&lt;12,"Morning",IF(S413&lt;17,"Afternoon","Evening"))</f>
        <v>Afternoon</v>
      </c>
      <c r="U413" s="16" t="n">
        <f aca="false">G413*H413*0.05</f>
        <v>9.0495</v>
      </c>
    </row>
    <row r="414" customFormat="false" ht="15" hidden="false" customHeight="false" outlineLevel="0" collapsed="false">
      <c r="A414" s="0" t="s">
        <v>763</v>
      </c>
      <c r="B414" s="0" t="s">
        <v>29</v>
      </c>
      <c r="C414" s="0" t="s">
        <v>56</v>
      </c>
      <c r="D414" s="0" t="s">
        <v>21</v>
      </c>
      <c r="E414" s="0" t="s">
        <v>57</v>
      </c>
      <c r="F414" s="0" t="s">
        <v>23</v>
      </c>
      <c r="G414" s="16" t="n">
        <v>78.22</v>
      </c>
      <c r="H414" s="0" t="n">
        <v>10</v>
      </c>
      <c r="I414" s="16" t="n">
        <f aca="false">G414*H414*0.05</f>
        <v>39.11</v>
      </c>
      <c r="J414" s="16" t="n">
        <f aca="false">G414*H414*1.05</f>
        <v>821.31</v>
      </c>
      <c r="K414" s="17" t="n">
        <v>43502</v>
      </c>
      <c r="L414" s="14" t="s">
        <v>148</v>
      </c>
      <c r="M414" s="14" t="s">
        <v>30</v>
      </c>
      <c r="N414" s="16" t="n">
        <f aca="false">G414*H414</f>
        <v>782.2</v>
      </c>
      <c r="O414" s="18" t="n">
        <v>4.761904762</v>
      </c>
      <c r="P414" s="16" t="n">
        <f aca="false">I414</f>
        <v>39.11</v>
      </c>
      <c r="Q414" s="19" t="n">
        <v>5.6</v>
      </c>
      <c r="R414" s="0" t="str">
        <f aca="false">TEXT(K414,"mmm yyyy")</f>
        <v>Feb 2019</v>
      </c>
      <c r="S414" s="14" t="n">
        <f aca="false">HOUR(TIMEVALUE(L414))</f>
        <v>18</v>
      </c>
      <c r="T414" s="0" t="str">
        <f aca="false">IF(S414&lt;12,"Morning",IF(S414&lt;17,"Afternoon","Evening"))</f>
        <v>Evening</v>
      </c>
      <c r="U414" s="16" t="n">
        <f aca="false">G414*H414*0.05</f>
        <v>39.11</v>
      </c>
    </row>
    <row r="415" customFormat="false" ht="15" hidden="false" customHeight="false" outlineLevel="0" collapsed="false">
      <c r="A415" s="0" t="s">
        <v>764</v>
      </c>
      <c r="B415" s="0" t="s">
        <v>33</v>
      </c>
      <c r="C415" s="0" t="s">
        <v>65</v>
      </c>
      <c r="D415" s="0" t="s">
        <v>22</v>
      </c>
      <c r="E415" s="0" t="s">
        <v>57</v>
      </c>
      <c r="F415" s="0" t="s">
        <v>23</v>
      </c>
      <c r="G415" s="16" t="n">
        <v>18.71</v>
      </c>
      <c r="H415" s="0" t="n">
        <v>5</v>
      </c>
      <c r="I415" s="16" t="n">
        <f aca="false">G415*H415*0.05</f>
        <v>4.6775</v>
      </c>
      <c r="J415" s="16" t="n">
        <f aca="false">G415*H415*1.05</f>
        <v>98.2275</v>
      </c>
      <c r="K415" s="17" t="n">
        <v>43502</v>
      </c>
      <c r="L415" s="14" t="s">
        <v>91</v>
      </c>
      <c r="M415" s="14" t="s">
        <v>30</v>
      </c>
      <c r="N415" s="16" t="n">
        <f aca="false">G415*H415</f>
        <v>93.55</v>
      </c>
      <c r="O415" s="18" t="n">
        <v>4.761904762</v>
      </c>
      <c r="P415" s="16" t="n">
        <f aca="false">I415</f>
        <v>4.6775</v>
      </c>
      <c r="Q415" s="19" t="n">
        <v>7.8</v>
      </c>
      <c r="R415" s="0" t="str">
        <f aca="false">TEXT(K415,"mmm yyyy")</f>
        <v>Feb 2019</v>
      </c>
      <c r="S415" s="14" t="n">
        <f aca="false">HOUR(TIMEVALUE(L415))</f>
        <v>20</v>
      </c>
      <c r="T415" s="0" t="str">
        <f aca="false">IF(S415&lt;12,"Morning",IF(S415&lt;17,"Afternoon","Evening"))</f>
        <v>Evening</v>
      </c>
      <c r="U415" s="16" t="n">
        <f aca="false">G415*H415*0.05</f>
        <v>4.6775</v>
      </c>
    </row>
    <row r="416" customFormat="false" ht="15" hidden="false" customHeight="false" outlineLevel="0" collapsed="false">
      <c r="A416" s="0" t="s">
        <v>765</v>
      </c>
      <c r="B416" s="0" t="s">
        <v>25</v>
      </c>
      <c r="C416" s="0" t="s">
        <v>68</v>
      </c>
      <c r="D416" s="0" t="s">
        <v>21</v>
      </c>
      <c r="E416" s="0" t="s">
        <v>60</v>
      </c>
      <c r="F416" s="0" t="s">
        <v>37</v>
      </c>
      <c r="G416" s="16" t="n">
        <v>70.01</v>
      </c>
      <c r="H416" s="0" t="n">
        <v>5</v>
      </c>
      <c r="I416" s="16" t="n">
        <f aca="false">G416*H416*0.05</f>
        <v>17.5025</v>
      </c>
      <c r="J416" s="16" t="n">
        <f aca="false">G416*H416*1.05</f>
        <v>367.5525</v>
      </c>
      <c r="K416" s="17" t="n">
        <v>43503</v>
      </c>
      <c r="L416" s="14" t="s">
        <v>647</v>
      </c>
      <c r="M416" s="14" t="s">
        <v>30</v>
      </c>
      <c r="N416" s="16" t="n">
        <f aca="false">G416*H416</f>
        <v>350.05</v>
      </c>
      <c r="O416" s="18" t="n">
        <v>4.761904762</v>
      </c>
      <c r="P416" s="16" t="n">
        <f aca="false">I416</f>
        <v>17.5025</v>
      </c>
      <c r="Q416" s="19" t="n">
        <v>7.6</v>
      </c>
      <c r="R416" s="0" t="str">
        <f aca="false">TEXT(K416,"mmm yyyy")</f>
        <v>Feb 2019</v>
      </c>
      <c r="S416" s="14" t="n">
        <f aca="false">HOUR(TIMEVALUE(L416))</f>
        <v>14</v>
      </c>
      <c r="T416" s="0" t="str">
        <f aca="false">IF(S416&lt;12,"Morning",IF(S416&lt;17,"Afternoon","Evening"))</f>
        <v>Afternoon</v>
      </c>
      <c r="U416" s="16" t="n">
        <f aca="false">G416*H416*0.05</f>
        <v>17.5025</v>
      </c>
    </row>
    <row r="417" customFormat="false" ht="15" hidden="false" customHeight="false" outlineLevel="0" collapsed="false">
      <c r="A417" s="0" t="s">
        <v>766</v>
      </c>
      <c r="B417" s="0" t="s">
        <v>29</v>
      </c>
      <c r="C417" s="0" t="s">
        <v>56</v>
      </c>
      <c r="D417" s="0" t="s">
        <v>22</v>
      </c>
      <c r="E417" s="0" t="s">
        <v>57</v>
      </c>
      <c r="F417" s="0" t="s">
        <v>31</v>
      </c>
      <c r="G417" s="16" t="n">
        <v>65.59</v>
      </c>
      <c r="H417" s="0" t="n">
        <v>3</v>
      </c>
      <c r="I417" s="16" t="n">
        <f aca="false">G417*H417*0.05</f>
        <v>9.8385</v>
      </c>
      <c r="J417" s="16" t="n">
        <f aca="false">G417*H417*1.05</f>
        <v>206.6085</v>
      </c>
      <c r="K417" s="17" t="n">
        <v>43503</v>
      </c>
      <c r="L417" s="14" t="s">
        <v>767</v>
      </c>
      <c r="M417" s="14" t="s">
        <v>34</v>
      </c>
      <c r="N417" s="16" t="n">
        <f aca="false">G417*H417</f>
        <v>196.77</v>
      </c>
      <c r="O417" s="18" t="n">
        <v>4.761904762</v>
      </c>
      <c r="P417" s="16" t="n">
        <f aca="false">I417</f>
        <v>9.8385</v>
      </c>
      <c r="Q417" s="19" t="n">
        <v>5.9</v>
      </c>
      <c r="R417" s="0" t="str">
        <f aca="false">TEXT(K417,"mmm yyyy")</f>
        <v>Feb 2019</v>
      </c>
      <c r="S417" s="14" t="n">
        <f aca="false">HOUR(TIMEVALUE(L417))</f>
        <v>19</v>
      </c>
      <c r="T417" s="0" t="str">
        <f aca="false">IF(S417&lt;12,"Morning",IF(S417&lt;17,"Afternoon","Evening"))</f>
        <v>Evening</v>
      </c>
      <c r="U417" s="16" t="n">
        <f aca="false">G417*H417*0.05</f>
        <v>9.8385</v>
      </c>
    </row>
    <row r="418" customFormat="false" ht="15" hidden="false" customHeight="false" outlineLevel="0" collapsed="false">
      <c r="A418" s="0" t="s">
        <v>768</v>
      </c>
      <c r="B418" s="0" t="s">
        <v>33</v>
      </c>
      <c r="C418" s="0" t="s">
        <v>65</v>
      </c>
      <c r="D418" s="0" t="s">
        <v>22</v>
      </c>
      <c r="E418" s="0" t="s">
        <v>57</v>
      </c>
      <c r="F418" s="0" t="s">
        <v>27</v>
      </c>
      <c r="G418" s="16" t="n">
        <v>34.71</v>
      </c>
      <c r="H418" s="0" t="n">
        <v>7</v>
      </c>
      <c r="I418" s="16" t="n">
        <f aca="false">G418*H418*0.05</f>
        <v>12.1485</v>
      </c>
      <c r="J418" s="16" t="n">
        <f aca="false">G418*H418*1.05</f>
        <v>255.1185</v>
      </c>
      <c r="K418" s="17" t="n">
        <v>43503</v>
      </c>
      <c r="L418" s="14" t="s">
        <v>769</v>
      </c>
      <c r="M418" s="14" t="s">
        <v>26</v>
      </c>
      <c r="N418" s="16" t="n">
        <f aca="false">G418*H418</f>
        <v>242.97</v>
      </c>
      <c r="O418" s="18" t="n">
        <v>4.761904762</v>
      </c>
      <c r="P418" s="16" t="n">
        <f aca="false">I418</f>
        <v>12.1485</v>
      </c>
      <c r="Q418" s="19" t="n">
        <v>5.8</v>
      </c>
      <c r="R418" s="0" t="str">
        <f aca="false">TEXT(K418,"mmm yyyy")</f>
        <v>Feb 2019</v>
      </c>
      <c r="S418" s="14" t="n">
        <f aca="false">HOUR(TIMEVALUE(L418))</f>
        <v>13</v>
      </c>
      <c r="T418" s="0" t="str">
        <f aca="false">IF(S418&lt;12,"Morning",IF(S418&lt;17,"Afternoon","Evening"))</f>
        <v>Afternoon</v>
      </c>
      <c r="U418" s="16" t="n">
        <f aca="false">G418*H418*0.05</f>
        <v>12.1485</v>
      </c>
    </row>
    <row r="419" customFormat="false" ht="15" hidden="false" customHeight="false" outlineLevel="0" collapsed="false">
      <c r="A419" s="0" t="s">
        <v>770</v>
      </c>
      <c r="B419" s="0" t="s">
        <v>25</v>
      </c>
      <c r="C419" s="0" t="s">
        <v>68</v>
      </c>
      <c r="D419" s="0" t="s">
        <v>21</v>
      </c>
      <c r="E419" s="0" t="s">
        <v>57</v>
      </c>
      <c r="F419" s="0" t="s">
        <v>23</v>
      </c>
      <c r="G419" s="16" t="n">
        <v>62.38</v>
      </c>
      <c r="H419" s="0" t="n">
        <v>2</v>
      </c>
      <c r="I419" s="16" t="n">
        <f aca="false">G419*H419*0.05</f>
        <v>6.238</v>
      </c>
      <c r="J419" s="16" t="n">
        <f aca="false">G419*H419*1.05</f>
        <v>130.998</v>
      </c>
      <c r="K419" s="17" t="n">
        <v>43503</v>
      </c>
      <c r="L419" s="14" t="s">
        <v>771</v>
      </c>
      <c r="M419" s="14" t="s">
        <v>26</v>
      </c>
      <c r="N419" s="16" t="n">
        <f aca="false">G419*H419</f>
        <v>124.76</v>
      </c>
      <c r="O419" s="18" t="n">
        <v>4.761904762</v>
      </c>
      <c r="P419" s="16" t="n">
        <f aca="false">I419</f>
        <v>6.238</v>
      </c>
      <c r="Q419" s="19" t="n">
        <v>6.6</v>
      </c>
      <c r="R419" s="0" t="str">
        <f aca="false">TEXT(K419,"mmm yyyy")</f>
        <v>Feb 2019</v>
      </c>
      <c r="S419" s="14" t="n">
        <f aca="false">HOUR(TIMEVALUE(L419))</f>
        <v>18</v>
      </c>
      <c r="T419" s="0" t="str">
        <f aca="false">IF(S419&lt;12,"Morning",IF(S419&lt;17,"Afternoon","Evening"))</f>
        <v>Evening</v>
      </c>
      <c r="U419" s="16" t="n">
        <f aca="false">G419*H419*0.05</f>
        <v>6.238</v>
      </c>
    </row>
    <row r="420" customFormat="false" ht="15" hidden="false" customHeight="false" outlineLevel="0" collapsed="false">
      <c r="A420" s="0" t="s">
        <v>772</v>
      </c>
      <c r="B420" s="0" t="s">
        <v>29</v>
      </c>
      <c r="C420" s="0" t="s">
        <v>56</v>
      </c>
      <c r="D420" s="0" t="s">
        <v>22</v>
      </c>
      <c r="E420" s="0" t="s">
        <v>57</v>
      </c>
      <c r="F420" s="0" t="s">
        <v>31</v>
      </c>
      <c r="G420" s="16" t="n">
        <v>25.64</v>
      </c>
      <c r="H420" s="0" t="n">
        <v>7</v>
      </c>
      <c r="I420" s="16" t="n">
        <f aca="false">G420*H420*0.05</f>
        <v>8.974</v>
      </c>
      <c r="J420" s="16" t="n">
        <f aca="false">G420*H420*1.05</f>
        <v>188.454</v>
      </c>
      <c r="K420" s="17" t="n">
        <v>43503</v>
      </c>
      <c r="L420" s="14" t="s">
        <v>773</v>
      </c>
      <c r="M420" s="14" t="s">
        <v>26</v>
      </c>
      <c r="N420" s="16" t="n">
        <f aca="false">G420*H420</f>
        <v>179.48</v>
      </c>
      <c r="O420" s="18" t="n">
        <v>4.761904762</v>
      </c>
      <c r="P420" s="16" t="n">
        <f aca="false">I420</f>
        <v>8.974</v>
      </c>
      <c r="Q420" s="19" t="n">
        <v>8.9</v>
      </c>
      <c r="R420" s="0" t="str">
        <f aca="false">TEXT(K420,"mmm yyyy")</f>
        <v>Feb 2019</v>
      </c>
      <c r="S420" s="14" t="n">
        <f aca="false">HOUR(TIMEVALUE(L420))</f>
        <v>18</v>
      </c>
      <c r="T420" s="0" t="str">
        <f aca="false">IF(S420&lt;12,"Morning",IF(S420&lt;17,"Afternoon","Evening"))</f>
        <v>Evening</v>
      </c>
      <c r="U420" s="16" t="n">
        <f aca="false">G420*H420*0.05</f>
        <v>8.974</v>
      </c>
    </row>
    <row r="421" customFormat="false" ht="15" hidden="false" customHeight="false" outlineLevel="0" collapsed="false">
      <c r="A421" s="0" t="s">
        <v>774</v>
      </c>
      <c r="B421" s="0" t="s">
        <v>29</v>
      </c>
      <c r="C421" s="0" t="s">
        <v>56</v>
      </c>
      <c r="D421" s="0" t="s">
        <v>21</v>
      </c>
      <c r="E421" s="0" t="s">
        <v>57</v>
      </c>
      <c r="F421" s="0" t="s">
        <v>23</v>
      </c>
      <c r="G421" s="16" t="n">
        <v>59.36</v>
      </c>
      <c r="H421" s="0" t="n">
        <v>7</v>
      </c>
      <c r="I421" s="16" t="n">
        <f aca="false">G421*H421*0.05</f>
        <v>20.776</v>
      </c>
      <c r="J421" s="16" t="n">
        <f aca="false">G421*H421*1.05</f>
        <v>436.296</v>
      </c>
      <c r="K421" s="17" t="n">
        <v>43503</v>
      </c>
      <c r="L421" s="14" t="s">
        <v>590</v>
      </c>
      <c r="M421" s="14" t="s">
        <v>34</v>
      </c>
      <c r="N421" s="16" t="n">
        <f aca="false">G421*H421</f>
        <v>415.52</v>
      </c>
      <c r="O421" s="18" t="n">
        <v>4.761904762</v>
      </c>
      <c r="P421" s="16" t="n">
        <f aca="false">I421</f>
        <v>20.776</v>
      </c>
      <c r="Q421" s="19" t="n">
        <v>5</v>
      </c>
      <c r="R421" s="0" t="str">
        <f aca="false">TEXT(K421,"mmm yyyy")</f>
        <v>Feb 2019</v>
      </c>
      <c r="S421" s="14" t="n">
        <f aca="false">HOUR(TIMEVALUE(L421))</f>
        <v>12</v>
      </c>
      <c r="T421" s="0" t="str">
        <f aca="false">IF(S421&lt;12,"Morning",IF(S421&lt;17,"Afternoon","Evening"))</f>
        <v>Afternoon</v>
      </c>
      <c r="U421" s="16" t="n">
        <f aca="false">G421*H421*0.05</f>
        <v>20.776</v>
      </c>
    </row>
    <row r="422" customFormat="false" ht="15" hidden="false" customHeight="false" outlineLevel="0" collapsed="false">
      <c r="A422" s="0" t="s">
        <v>775</v>
      </c>
      <c r="B422" s="0" t="s">
        <v>33</v>
      </c>
      <c r="C422" s="0" t="s">
        <v>65</v>
      </c>
      <c r="D422" s="0" t="s">
        <v>21</v>
      </c>
      <c r="E422" s="0" t="s">
        <v>57</v>
      </c>
      <c r="F422" s="0" t="s">
        <v>27</v>
      </c>
      <c r="G422" s="16" t="n">
        <v>98.8</v>
      </c>
      <c r="H422" s="0" t="n">
        <v>2</v>
      </c>
      <c r="I422" s="16" t="n">
        <f aca="false">G422*H422*0.05</f>
        <v>9.88</v>
      </c>
      <c r="J422" s="16" t="n">
        <f aca="false">G422*H422*1.05</f>
        <v>207.48</v>
      </c>
      <c r="K422" s="17" t="n">
        <v>43503</v>
      </c>
      <c r="L422" s="14" t="s">
        <v>150</v>
      </c>
      <c r="M422" s="14" t="s">
        <v>30</v>
      </c>
      <c r="N422" s="16" t="n">
        <f aca="false">G422*H422</f>
        <v>197.6</v>
      </c>
      <c r="O422" s="18" t="n">
        <v>4.761904762</v>
      </c>
      <c r="P422" s="16" t="n">
        <f aca="false">I422</f>
        <v>9.88</v>
      </c>
      <c r="Q422" s="19" t="n">
        <v>7</v>
      </c>
      <c r="R422" s="0" t="str">
        <f aca="false">TEXT(K422,"mmm yyyy")</f>
        <v>Feb 2019</v>
      </c>
      <c r="S422" s="14" t="n">
        <f aca="false">HOUR(TIMEVALUE(L422))</f>
        <v>10</v>
      </c>
      <c r="T422" s="0" t="str">
        <f aca="false">IF(S422&lt;12,"Morning",IF(S422&lt;17,"Afternoon","Evening"))</f>
        <v>Morning</v>
      </c>
      <c r="U422" s="16" t="n">
        <f aca="false">G422*H422*0.05</f>
        <v>9.88</v>
      </c>
    </row>
    <row r="423" customFormat="false" ht="15" hidden="false" customHeight="false" outlineLevel="0" collapsed="false">
      <c r="A423" s="0" t="s">
        <v>776</v>
      </c>
      <c r="B423" s="0" t="s">
        <v>25</v>
      </c>
      <c r="C423" s="0" t="s">
        <v>68</v>
      </c>
      <c r="D423" s="0" t="s">
        <v>22</v>
      </c>
      <c r="E423" s="0" t="s">
        <v>57</v>
      </c>
      <c r="F423" s="0" t="s">
        <v>27</v>
      </c>
      <c r="G423" s="16" t="n">
        <v>59.07</v>
      </c>
      <c r="H423" s="0" t="n">
        <v>8</v>
      </c>
      <c r="I423" s="16" t="n">
        <f aca="false">G423*H423*0.05</f>
        <v>23.628</v>
      </c>
      <c r="J423" s="16" t="n">
        <f aca="false">G423*H423*1.05</f>
        <v>496.188</v>
      </c>
      <c r="K423" s="17" t="n">
        <v>43503</v>
      </c>
      <c r="L423" s="14" t="s">
        <v>777</v>
      </c>
      <c r="M423" s="14" t="s">
        <v>34</v>
      </c>
      <c r="N423" s="16" t="n">
        <f aca="false">G423*H423</f>
        <v>472.56</v>
      </c>
      <c r="O423" s="18" t="n">
        <v>4.761904762</v>
      </c>
      <c r="P423" s="16" t="n">
        <f aca="false">I423</f>
        <v>23.628</v>
      </c>
      <c r="Q423" s="19" t="n">
        <v>8.9</v>
      </c>
      <c r="R423" s="0" t="str">
        <f aca="false">TEXT(K423,"mmm yyyy")</f>
        <v>Feb 2019</v>
      </c>
      <c r="S423" s="14" t="n">
        <f aca="false">HOUR(TIMEVALUE(L423))</f>
        <v>16</v>
      </c>
      <c r="T423" s="0" t="str">
        <f aca="false">IF(S423&lt;12,"Morning",IF(S423&lt;17,"Afternoon","Evening"))</f>
        <v>Afternoon</v>
      </c>
      <c r="U423" s="16" t="n">
        <f aca="false">G423*H423*0.05</f>
        <v>23.628</v>
      </c>
    </row>
    <row r="424" customFormat="false" ht="15" hidden="false" customHeight="false" outlineLevel="0" collapsed="false">
      <c r="A424" s="0" t="s">
        <v>778</v>
      </c>
      <c r="B424" s="0" t="s">
        <v>25</v>
      </c>
      <c r="C424" s="0" t="s">
        <v>68</v>
      </c>
      <c r="D424" s="0" t="s">
        <v>22</v>
      </c>
      <c r="E424" s="0" t="s">
        <v>57</v>
      </c>
      <c r="F424" s="0" t="s">
        <v>37</v>
      </c>
      <c r="G424" s="16" t="n">
        <v>24.92</v>
      </c>
      <c r="H424" s="0" t="n">
        <v>4</v>
      </c>
      <c r="I424" s="16" t="n">
        <f aca="false">G424*H424*0.05</f>
        <v>4.984</v>
      </c>
      <c r="J424" s="16" t="n">
        <f aca="false">G424*H424*1.05</f>
        <v>104.664</v>
      </c>
      <c r="K424" s="17" t="n">
        <v>43503</v>
      </c>
      <c r="L424" s="14" t="s">
        <v>376</v>
      </c>
      <c r="M424" s="14" t="s">
        <v>30</v>
      </c>
      <c r="N424" s="16" t="n">
        <f aca="false">G424*H424</f>
        <v>99.68</v>
      </c>
      <c r="O424" s="18" t="n">
        <v>4.761904762</v>
      </c>
      <c r="P424" s="16" t="n">
        <f aca="false">I424</f>
        <v>4.984</v>
      </c>
      <c r="Q424" s="19" t="n">
        <v>8.3</v>
      </c>
      <c r="R424" s="0" t="str">
        <f aca="false">TEXT(K424,"mmm yyyy")</f>
        <v>Feb 2019</v>
      </c>
      <c r="S424" s="14" t="n">
        <f aca="false">HOUR(TIMEVALUE(L424))</f>
        <v>20</v>
      </c>
      <c r="T424" s="0" t="str">
        <f aca="false">IF(S424&lt;12,"Morning",IF(S424&lt;17,"Afternoon","Evening"))</f>
        <v>Evening</v>
      </c>
      <c r="U424" s="16" t="n">
        <f aca="false">G424*H424*0.05</f>
        <v>4.984</v>
      </c>
    </row>
    <row r="425" customFormat="false" ht="15" hidden="false" customHeight="false" outlineLevel="0" collapsed="false">
      <c r="A425" s="0" t="s">
        <v>779</v>
      </c>
      <c r="B425" s="0" t="s">
        <v>33</v>
      </c>
      <c r="C425" s="0" t="s">
        <v>65</v>
      </c>
      <c r="D425" s="0" t="s">
        <v>21</v>
      </c>
      <c r="E425" s="0" t="s">
        <v>60</v>
      </c>
      <c r="F425" s="0" t="s">
        <v>31</v>
      </c>
      <c r="G425" s="16" t="n">
        <v>56.01</v>
      </c>
      <c r="H425" s="0" t="n">
        <v>3</v>
      </c>
      <c r="I425" s="16" t="n">
        <f aca="false">G425*H425*0.05</f>
        <v>8.4015</v>
      </c>
      <c r="J425" s="16" t="n">
        <f aca="false">G425*H425*1.05</f>
        <v>176.4315</v>
      </c>
      <c r="K425" s="17" t="n">
        <v>43504</v>
      </c>
      <c r="L425" s="14" t="s">
        <v>515</v>
      </c>
      <c r="M425" s="14" t="s">
        <v>34</v>
      </c>
      <c r="N425" s="16" t="n">
        <f aca="false">G425*H425</f>
        <v>168.03</v>
      </c>
      <c r="O425" s="18" t="n">
        <v>4.761904762</v>
      </c>
      <c r="P425" s="16" t="n">
        <f aca="false">I425</f>
        <v>8.4015</v>
      </c>
      <c r="Q425" s="19" t="n">
        <v>8</v>
      </c>
      <c r="R425" s="0" t="str">
        <f aca="false">TEXT(K425,"mmm yyyy")</f>
        <v>Feb 2019</v>
      </c>
      <c r="S425" s="14" t="n">
        <f aca="false">HOUR(TIMEVALUE(L425))</f>
        <v>16</v>
      </c>
      <c r="T425" s="0" t="str">
        <f aca="false">IF(S425&lt;12,"Morning",IF(S425&lt;17,"Afternoon","Evening"))</f>
        <v>Afternoon</v>
      </c>
      <c r="U425" s="16" t="n">
        <f aca="false">G425*H425*0.05</f>
        <v>8.4015</v>
      </c>
    </row>
    <row r="426" customFormat="false" ht="15" hidden="false" customHeight="false" outlineLevel="0" collapsed="false">
      <c r="A426" s="0" t="s">
        <v>780</v>
      </c>
      <c r="B426" s="0" t="s">
        <v>33</v>
      </c>
      <c r="C426" s="0" t="s">
        <v>65</v>
      </c>
      <c r="D426" s="0" t="s">
        <v>22</v>
      </c>
      <c r="E426" s="0" t="s">
        <v>57</v>
      </c>
      <c r="F426" s="0" t="s">
        <v>27</v>
      </c>
      <c r="G426" s="16" t="n">
        <v>87.77</v>
      </c>
      <c r="H426" s="0" t="n">
        <v>7</v>
      </c>
      <c r="I426" s="16" t="n">
        <f aca="false">G426*H426*0.05</f>
        <v>30.7195</v>
      </c>
      <c r="J426" s="16" t="n">
        <f aca="false">G426*H426*1.05</f>
        <v>645.1095</v>
      </c>
      <c r="K426" s="17" t="n">
        <v>43504</v>
      </c>
      <c r="L426" s="14" t="s">
        <v>781</v>
      </c>
      <c r="M426" s="14" t="s">
        <v>26</v>
      </c>
      <c r="N426" s="16" t="n">
        <f aca="false">G426*H426</f>
        <v>614.39</v>
      </c>
      <c r="O426" s="18" t="n">
        <v>4.761904762</v>
      </c>
      <c r="P426" s="16" t="n">
        <f aca="false">I426</f>
        <v>30.7195</v>
      </c>
      <c r="Q426" s="19" t="n">
        <v>9.3</v>
      </c>
      <c r="R426" s="0" t="str">
        <f aca="false">TEXT(K426,"mmm yyyy")</f>
        <v>Feb 2019</v>
      </c>
      <c r="S426" s="14" t="n">
        <f aca="false">HOUR(TIMEVALUE(L426))</f>
        <v>17</v>
      </c>
      <c r="T426" s="0" t="str">
        <f aca="false">IF(S426&lt;12,"Morning",IF(S426&lt;17,"Afternoon","Evening"))</f>
        <v>Evening</v>
      </c>
      <c r="U426" s="16" t="n">
        <f aca="false">G426*H426*0.05</f>
        <v>30.7195</v>
      </c>
    </row>
    <row r="427" customFormat="false" ht="15" hidden="false" customHeight="false" outlineLevel="0" collapsed="false">
      <c r="A427" s="0" t="s">
        <v>782</v>
      </c>
      <c r="B427" s="0" t="s">
        <v>29</v>
      </c>
      <c r="C427" s="0" t="s">
        <v>56</v>
      </c>
      <c r="D427" s="0" t="s">
        <v>21</v>
      </c>
      <c r="E427" s="0" t="s">
        <v>60</v>
      </c>
      <c r="F427" s="0" t="s">
        <v>31</v>
      </c>
      <c r="G427" s="16" t="n">
        <v>83.13</v>
      </c>
      <c r="H427" s="0" t="n">
        <v>4</v>
      </c>
      <c r="I427" s="16" t="n">
        <f aca="false">G427*H427*0.05</f>
        <v>16.626</v>
      </c>
      <c r="J427" s="16" t="n">
        <f aca="false">G427*H427*1.05</f>
        <v>349.146</v>
      </c>
      <c r="K427" s="17" t="n">
        <v>43504</v>
      </c>
      <c r="L427" s="14" t="s">
        <v>783</v>
      </c>
      <c r="M427" s="14" t="s">
        <v>26</v>
      </c>
      <c r="N427" s="16" t="n">
        <f aca="false">G427*H427</f>
        <v>332.52</v>
      </c>
      <c r="O427" s="18" t="n">
        <v>4.761904762</v>
      </c>
      <c r="P427" s="16" t="n">
        <f aca="false">I427</f>
        <v>16.626</v>
      </c>
      <c r="Q427" s="19" t="n">
        <v>6.4</v>
      </c>
      <c r="R427" s="0" t="str">
        <f aca="false">TEXT(K427,"mmm yyyy")</f>
        <v>Feb 2019</v>
      </c>
      <c r="S427" s="14" t="n">
        <f aca="false">HOUR(TIMEVALUE(L427))</f>
        <v>18</v>
      </c>
      <c r="T427" s="0" t="str">
        <f aca="false">IF(S427&lt;12,"Morning",IF(S427&lt;17,"Afternoon","Evening"))</f>
        <v>Evening</v>
      </c>
      <c r="U427" s="16" t="n">
        <f aca="false">G427*H427*0.05</f>
        <v>16.626</v>
      </c>
    </row>
    <row r="428" customFormat="false" ht="15" hidden="false" customHeight="false" outlineLevel="0" collapsed="false">
      <c r="A428" s="0" t="s">
        <v>784</v>
      </c>
      <c r="B428" s="0" t="s">
        <v>33</v>
      </c>
      <c r="C428" s="0" t="s">
        <v>65</v>
      </c>
      <c r="D428" s="0" t="s">
        <v>21</v>
      </c>
      <c r="E428" s="0" t="s">
        <v>60</v>
      </c>
      <c r="F428" s="0" t="s">
        <v>31</v>
      </c>
      <c r="G428" s="16" t="n">
        <v>59.95</v>
      </c>
      <c r="H428" s="0" t="n">
        <v>6</v>
      </c>
      <c r="I428" s="16" t="n">
        <f aca="false">G428*H428*0.05</f>
        <v>17.985</v>
      </c>
      <c r="J428" s="16" t="n">
        <f aca="false">G428*H428*1.05</f>
        <v>377.685</v>
      </c>
      <c r="K428" s="17" t="n">
        <v>43504</v>
      </c>
      <c r="L428" s="14" t="s">
        <v>581</v>
      </c>
      <c r="M428" s="14" t="s">
        <v>34</v>
      </c>
      <c r="N428" s="16" t="n">
        <f aca="false">G428*H428</f>
        <v>359.7</v>
      </c>
      <c r="O428" s="18" t="n">
        <v>4.761904762</v>
      </c>
      <c r="P428" s="16" t="n">
        <f aca="false">I428</f>
        <v>17.985</v>
      </c>
      <c r="Q428" s="19" t="n">
        <v>6.1</v>
      </c>
      <c r="R428" s="0" t="str">
        <f aca="false">TEXT(K428,"mmm yyyy")</f>
        <v>Feb 2019</v>
      </c>
      <c r="S428" s="14" t="n">
        <f aca="false">HOUR(TIMEVALUE(L428))</f>
        <v>11</v>
      </c>
      <c r="T428" s="0" t="str">
        <f aca="false">IF(S428&lt;12,"Morning",IF(S428&lt;17,"Afternoon","Evening"))</f>
        <v>Morning</v>
      </c>
      <c r="U428" s="16" t="n">
        <f aca="false">G428*H428*0.05</f>
        <v>17.985</v>
      </c>
    </row>
    <row r="429" customFormat="false" ht="15" hidden="false" customHeight="false" outlineLevel="0" collapsed="false">
      <c r="A429" s="0" t="s">
        <v>785</v>
      </c>
      <c r="B429" s="0" t="s">
        <v>33</v>
      </c>
      <c r="C429" s="0" t="s">
        <v>65</v>
      </c>
      <c r="D429" s="0" t="s">
        <v>21</v>
      </c>
      <c r="E429" s="0" t="s">
        <v>57</v>
      </c>
      <c r="F429" s="0" t="s">
        <v>35</v>
      </c>
      <c r="G429" s="16" t="n">
        <v>27.59</v>
      </c>
      <c r="H429" s="0" t="n">
        <v>1</v>
      </c>
      <c r="I429" s="16" t="n">
        <f aca="false">G429*H429*0.05</f>
        <v>1.3795</v>
      </c>
      <c r="J429" s="16" t="n">
        <f aca="false">G429*H429*1.05</f>
        <v>28.9695</v>
      </c>
      <c r="K429" s="17" t="n">
        <v>43504</v>
      </c>
      <c r="L429" s="14" t="s">
        <v>125</v>
      </c>
      <c r="M429" s="14" t="s">
        <v>30</v>
      </c>
      <c r="N429" s="16" t="n">
        <f aca="false">G429*H429</f>
        <v>27.59</v>
      </c>
      <c r="O429" s="18" t="n">
        <v>4.761904762</v>
      </c>
      <c r="P429" s="16" t="n">
        <f aca="false">I429</f>
        <v>1.3795</v>
      </c>
      <c r="Q429" s="19" t="n">
        <v>4.7</v>
      </c>
      <c r="R429" s="0" t="str">
        <f aca="false">TEXT(K429,"mmm yyyy")</f>
        <v>Feb 2019</v>
      </c>
      <c r="S429" s="14" t="n">
        <f aca="false">HOUR(TIMEVALUE(L429))</f>
        <v>14</v>
      </c>
      <c r="T429" s="0" t="str">
        <f aca="false">IF(S429&lt;12,"Morning",IF(S429&lt;17,"Afternoon","Evening"))</f>
        <v>Afternoon</v>
      </c>
      <c r="U429" s="16" t="n">
        <f aca="false">G429*H429*0.05</f>
        <v>1.3795</v>
      </c>
    </row>
    <row r="430" customFormat="false" ht="15" hidden="false" customHeight="false" outlineLevel="0" collapsed="false">
      <c r="A430" s="0" t="s">
        <v>786</v>
      </c>
      <c r="B430" s="0" t="s">
        <v>25</v>
      </c>
      <c r="C430" s="0" t="s">
        <v>68</v>
      </c>
      <c r="D430" s="0" t="s">
        <v>22</v>
      </c>
      <c r="E430" s="0" t="s">
        <v>60</v>
      </c>
      <c r="F430" s="0" t="s">
        <v>36</v>
      </c>
      <c r="G430" s="16" t="n">
        <v>71.82</v>
      </c>
      <c r="H430" s="0" t="n">
        <v>7</v>
      </c>
      <c r="I430" s="16" t="n">
        <f aca="false">G430*H430*0.05</f>
        <v>25.137</v>
      </c>
      <c r="J430" s="16" t="n">
        <f aca="false">G430*H430*1.05</f>
        <v>527.877</v>
      </c>
      <c r="K430" s="17" t="n">
        <v>43504</v>
      </c>
      <c r="L430" s="14" t="s">
        <v>787</v>
      </c>
      <c r="M430" s="14" t="s">
        <v>26</v>
      </c>
      <c r="N430" s="16" t="n">
        <f aca="false">G430*H430</f>
        <v>502.74</v>
      </c>
      <c r="O430" s="18" t="n">
        <v>4.761904762</v>
      </c>
      <c r="P430" s="16" t="n">
        <f aca="false">I430</f>
        <v>25.137</v>
      </c>
      <c r="Q430" s="19" t="n">
        <v>7</v>
      </c>
      <c r="R430" s="0" t="str">
        <f aca="false">TEXT(K430,"mmm yyyy")</f>
        <v>Feb 2019</v>
      </c>
      <c r="S430" s="14" t="n">
        <f aca="false">HOUR(TIMEVALUE(L430))</f>
        <v>11</v>
      </c>
      <c r="T430" s="0" t="str">
        <f aca="false">IF(S430&lt;12,"Morning",IF(S430&lt;17,"Afternoon","Evening"))</f>
        <v>Morning</v>
      </c>
      <c r="U430" s="16" t="n">
        <f aca="false">G430*H430*0.05</f>
        <v>25.137</v>
      </c>
    </row>
    <row r="431" customFormat="false" ht="15" hidden="false" customHeight="false" outlineLevel="0" collapsed="false">
      <c r="A431" s="0" t="s">
        <v>788</v>
      </c>
      <c r="B431" s="0" t="s">
        <v>25</v>
      </c>
      <c r="C431" s="0" t="s">
        <v>68</v>
      </c>
      <c r="D431" s="0" t="s">
        <v>21</v>
      </c>
      <c r="E431" s="0" t="s">
        <v>60</v>
      </c>
      <c r="F431" s="0" t="s">
        <v>23</v>
      </c>
      <c r="G431" s="16" t="n">
        <v>60.67</v>
      </c>
      <c r="H431" s="0" t="n">
        <v>4</v>
      </c>
      <c r="I431" s="16" t="n">
        <f aca="false">G431*H431*0.05</f>
        <v>12.134</v>
      </c>
      <c r="J431" s="16" t="n">
        <f aca="false">G431*H431*1.05</f>
        <v>254.814</v>
      </c>
      <c r="K431" s="17" t="n">
        <v>43504</v>
      </c>
      <c r="L431" s="14" t="s">
        <v>789</v>
      </c>
      <c r="M431" s="14" t="s">
        <v>26</v>
      </c>
      <c r="N431" s="16" t="n">
        <f aca="false">G431*H431</f>
        <v>242.68</v>
      </c>
      <c r="O431" s="18" t="n">
        <v>4.761904762</v>
      </c>
      <c r="P431" s="16" t="n">
        <f aca="false">I431</f>
        <v>12.134</v>
      </c>
      <c r="Q431" s="19" t="n">
        <v>6.2</v>
      </c>
      <c r="R431" s="0" t="str">
        <f aca="false">TEXT(K431,"mmm yyyy")</f>
        <v>Feb 2019</v>
      </c>
      <c r="S431" s="14" t="n">
        <f aca="false">HOUR(TIMEVALUE(L431))</f>
        <v>10</v>
      </c>
      <c r="T431" s="0" t="str">
        <f aca="false">IF(S431&lt;12,"Morning",IF(S431&lt;17,"Afternoon","Evening"))</f>
        <v>Morning</v>
      </c>
      <c r="U431" s="16" t="n">
        <f aca="false">G431*H431*0.05</f>
        <v>12.134</v>
      </c>
    </row>
    <row r="432" customFormat="false" ht="15" hidden="false" customHeight="false" outlineLevel="0" collapsed="false">
      <c r="A432" s="0" t="s">
        <v>790</v>
      </c>
      <c r="B432" s="0" t="s">
        <v>25</v>
      </c>
      <c r="C432" s="0" t="s">
        <v>68</v>
      </c>
      <c r="D432" s="0" t="s">
        <v>22</v>
      </c>
      <c r="E432" s="0" t="s">
        <v>60</v>
      </c>
      <c r="F432" s="0" t="s">
        <v>23</v>
      </c>
      <c r="G432" s="16" t="n">
        <v>19.75</v>
      </c>
      <c r="H432" s="0" t="n">
        <v>3</v>
      </c>
      <c r="I432" s="16" t="n">
        <f aca="false">G432*H432*0.05</f>
        <v>2.9625</v>
      </c>
      <c r="J432" s="16" t="n">
        <f aca="false">G432*H432*1.05</f>
        <v>62.2125</v>
      </c>
      <c r="K432" s="17" t="n">
        <v>43504</v>
      </c>
      <c r="L432" s="14" t="s">
        <v>791</v>
      </c>
      <c r="M432" s="14" t="s">
        <v>34</v>
      </c>
      <c r="N432" s="16" t="n">
        <f aca="false">G432*H432</f>
        <v>59.25</v>
      </c>
      <c r="O432" s="18" t="n">
        <v>4.761904762</v>
      </c>
      <c r="P432" s="16" t="n">
        <f aca="false">I432</f>
        <v>2.9625</v>
      </c>
      <c r="Q432" s="19" t="n">
        <v>9.9</v>
      </c>
      <c r="R432" s="0" t="str">
        <f aca="false">TEXT(K432,"mmm yyyy")</f>
        <v>Feb 2019</v>
      </c>
      <c r="S432" s="14" t="n">
        <f aca="false">HOUR(TIMEVALUE(L432))</f>
        <v>14</v>
      </c>
      <c r="T432" s="0" t="str">
        <f aca="false">IF(S432&lt;12,"Morning",IF(S432&lt;17,"Afternoon","Evening"))</f>
        <v>Afternoon</v>
      </c>
      <c r="U432" s="16" t="n">
        <f aca="false">G432*H432*0.05</f>
        <v>2.9625</v>
      </c>
    </row>
    <row r="433" customFormat="false" ht="15" hidden="false" customHeight="false" outlineLevel="0" collapsed="false">
      <c r="A433" s="0" t="s">
        <v>792</v>
      </c>
      <c r="B433" s="0" t="s">
        <v>33</v>
      </c>
      <c r="C433" s="0" t="s">
        <v>65</v>
      </c>
      <c r="D433" s="0" t="s">
        <v>22</v>
      </c>
      <c r="E433" s="0" t="s">
        <v>57</v>
      </c>
      <c r="F433" s="0" t="s">
        <v>27</v>
      </c>
      <c r="G433" s="16" t="n">
        <v>67.69</v>
      </c>
      <c r="H433" s="0" t="n">
        <v>1</v>
      </c>
      <c r="I433" s="16" t="n">
        <f aca="false">G433*H433*0.05</f>
        <v>3.3845</v>
      </c>
      <c r="J433" s="16" t="n">
        <f aca="false">G433*H433*1.05</f>
        <v>71.0745</v>
      </c>
      <c r="K433" s="17" t="n">
        <v>43504</v>
      </c>
      <c r="L433" s="14" t="s">
        <v>793</v>
      </c>
      <c r="M433" s="14" t="s">
        <v>26</v>
      </c>
      <c r="N433" s="16" t="n">
        <f aca="false">G433*H433</f>
        <v>67.69</v>
      </c>
      <c r="O433" s="18" t="n">
        <v>4.761904762</v>
      </c>
      <c r="P433" s="16" t="n">
        <f aca="false">I433</f>
        <v>3.3845</v>
      </c>
      <c r="Q433" s="19" t="n">
        <v>8.4</v>
      </c>
      <c r="R433" s="0" t="str">
        <f aca="false">TEXT(K433,"mmm yyyy")</f>
        <v>Feb 2019</v>
      </c>
      <c r="S433" s="14" t="n">
        <f aca="false">HOUR(TIMEVALUE(L433))</f>
        <v>15</v>
      </c>
      <c r="T433" s="0" t="str">
        <f aca="false">IF(S433&lt;12,"Morning",IF(S433&lt;17,"Afternoon","Evening"))</f>
        <v>Afternoon</v>
      </c>
      <c r="U433" s="16" t="n">
        <f aca="false">G433*H433*0.05</f>
        <v>3.3845</v>
      </c>
    </row>
    <row r="434" customFormat="false" ht="15" hidden="false" customHeight="false" outlineLevel="0" collapsed="false">
      <c r="A434" s="0" t="s">
        <v>794</v>
      </c>
      <c r="B434" s="0" t="s">
        <v>25</v>
      </c>
      <c r="C434" s="0" t="s">
        <v>68</v>
      </c>
      <c r="D434" s="0" t="s">
        <v>21</v>
      </c>
      <c r="E434" s="0" t="s">
        <v>60</v>
      </c>
      <c r="F434" s="0" t="s">
        <v>27</v>
      </c>
      <c r="G434" s="16" t="n">
        <v>71.56</v>
      </c>
      <c r="H434" s="0" t="n">
        <v>6</v>
      </c>
      <c r="I434" s="16" t="n">
        <f aca="false">G434*H434*0.05</f>
        <v>21.468</v>
      </c>
      <c r="J434" s="16" t="n">
        <f aca="false">G434*H434*1.05</f>
        <v>450.828</v>
      </c>
      <c r="K434" s="17" t="n">
        <v>43504</v>
      </c>
      <c r="L434" s="14" t="s">
        <v>726</v>
      </c>
      <c r="M434" s="14" t="s">
        <v>26</v>
      </c>
      <c r="N434" s="16" t="n">
        <f aca="false">G434*H434</f>
        <v>429.36</v>
      </c>
      <c r="O434" s="18" t="n">
        <v>4.761904762</v>
      </c>
      <c r="P434" s="16" t="n">
        <f aca="false">I434</f>
        <v>21.468</v>
      </c>
      <c r="Q434" s="19" t="n">
        <v>4.7</v>
      </c>
      <c r="R434" s="0" t="str">
        <f aca="false">TEXT(K434,"mmm yyyy")</f>
        <v>Feb 2019</v>
      </c>
      <c r="S434" s="14" t="n">
        <f aca="false">HOUR(TIMEVALUE(L434))</f>
        <v>20</v>
      </c>
      <c r="T434" s="0" t="str">
        <f aca="false">IF(S434&lt;12,"Morning",IF(S434&lt;17,"Afternoon","Evening"))</f>
        <v>Evening</v>
      </c>
      <c r="U434" s="16" t="n">
        <f aca="false">G434*H434*0.05</f>
        <v>21.468</v>
      </c>
    </row>
    <row r="435" customFormat="false" ht="15" hidden="false" customHeight="false" outlineLevel="0" collapsed="false">
      <c r="A435" s="0" t="s">
        <v>795</v>
      </c>
      <c r="B435" s="0" t="s">
        <v>33</v>
      </c>
      <c r="C435" s="0" t="s">
        <v>65</v>
      </c>
      <c r="D435" s="0" t="s">
        <v>21</v>
      </c>
      <c r="E435" s="0" t="s">
        <v>60</v>
      </c>
      <c r="F435" s="0" t="s">
        <v>31</v>
      </c>
      <c r="G435" s="16" t="n">
        <v>98.83</v>
      </c>
      <c r="H435" s="0" t="n">
        <v>9</v>
      </c>
      <c r="I435" s="16" t="n">
        <f aca="false">G435*H435*0.05</f>
        <v>44.4735</v>
      </c>
      <c r="J435" s="16" t="n">
        <f aca="false">G435*H435*1.05</f>
        <v>933.9435</v>
      </c>
      <c r="K435" s="17" t="n">
        <v>43504</v>
      </c>
      <c r="L435" s="14" t="s">
        <v>796</v>
      </c>
      <c r="M435" s="14" t="s">
        <v>30</v>
      </c>
      <c r="N435" s="16" t="n">
        <f aca="false">G435*H435</f>
        <v>889.47</v>
      </c>
      <c r="O435" s="18" t="n">
        <v>4.761904762</v>
      </c>
      <c r="P435" s="16" t="n">
        <f aca="false">I435</f>
        <v>44.4735</v>
      </c>
      <c r="Q435" s="19" t="n">
        <v>6.9</v>
      </c>
      <c r="R435" s="0" t="str">
        <f aca="false">TEXT(K435,"mmm yyyy")</f>
        <v>Feb 2019</v>
      </c>
      <c r="S435" s="14" t="n">
        <f aca="false">HOUR(TIMEVALUE(L435))</f>
        <v>11</v>
      </c>
      <c r="T435" s="0" t="str">
        <f aca="false">IF(S435&lt;12,"Morning",IF(S435&lt;17,"Afternoon","Evening"))</f>
        <v>Morning</v>
      </c>
      <c r="U435" s="16" t="n">
        <f aca="false">G435*H435*0.05</f>
        <v>44.4735</v>
      </c>
    </row>
    <row r="436" customFormat="false" ht="15" hidden="false" customHeight="false" outlineLevel="0" collapsed="false">
      <c r="A436" s="0" t="s">
        <v>797</v>
      </c>
      <c r="B436" s="0" t="s">
        <v>29</v>
      </c>
      <c r="C436" s="0" t="s">
        <v>56</v>
      </c>
      <c r="D436" s="0" t="s">
        <v>21</v>
      </c>
      <c r="E436" s="0" t="s">
        <v>57</v>
      </c>
      <c r="F436" s="0" t="s">
        <v>36</v>
      </c>
      <c r="G436" s="16" t="n">
        <v>41.98</v>
      </c>
      <c r="H436" s="0" t="n">
        <v>4</v>
      </c>
      <c r="I436" s="16" t="n">
        <f aca="false">G436*H436*0.05</f>
        <v>8.396</v>
      </c>
      <c r="J436" s="16" t="n">
        <f aca="false">G436*H436*1.05</f>
        <v>176.316</v>
      </c>
      <c r="K436" s="17" t="n">
        <v>43504</v>
      </c>
      <c r="L436" s="14" t="s">
        <v>798</v>
      </c>
      <c r="M436" s="14" t="s">
        <v>30</v>
      </c>
      <c r="N436" s="16" t="n">
        <f aca="false">G436*H436</f>
        <v>167.92</v>
      </c>
      <c r="O436" s="18" t="n">
        <v>4.761904762</v>
      </c>
      <c r="P436" s="16" t="n">
        <f aca="false">I436</f>
        <v>8.396</v>
      </c>
      <c r="Q436" s="19" t="n">
        <v>7.4</v>
      </c>
      <c r="R436" s="0" t="str">
        <f aca="false">TEXT(K436,"mmm yyyy")</f>
        <v>Feb 2019</v>
      </c>
      <c r="S436" s="14" t="n">
        <f aca="false">HOUR(TIMEVALUE(L436))</f>
        <v>19</v>
      </c>
      <c r="T436" s="0" t="str">
        <f aca="false">IF(S436&lt;12,"Morning",IF(S436&lt;17,"Afternoon","Evening"))</f>
        <v>Evening</v>
      </c>
      <c r="U436" s="16" t="n">
        <f aca="false">G436*H436*0.05</f>
        <v>8.396</v>
      </c>
    </row>
    <row r="437" customFormat="false" ht="15" hidden="false" customHeight="false" outlineLevel="0" collapsed="false">
      <c r="A437" s="0" t="s">
        <v>799</v>
      </c>
      <c r="B437" s="0" t="s">
        <v>33</v>
      </c>
      <c r="C437" s="0" t="s">
        <v>65</v>
      </c>
      <c r="D437" s="0" t="s">
        <v>21</v>
      </c>
      <c r="E437" s="0" t="s">
        <v>57</v>
      </c>
      <c r="F437" s="0" t="s">
        <v>23</v>
      </c>
      <c r="G437" s="16" t="n">
        <v>94.96</v>
      </c>
      <c r="H437" s="0" t="n">
        <v>5</v>
      </c>
      <c r="I437" s="16" t="n">
        <f aca="false">G437*H437*0.05</f>
        <v>23.74</v>
      </c>
      <c r="J437" s="16" t="n">
        <f aca="false">G437*H437*1.05</f>
        <v>498.54</v>
      </c>
      <c r="K437" s="17" t="n">
        <v>43504</v>
      </c>
      <c r="L437" s="14" t="s">
        <v>800</v>
      </c>
      <c r="M437" s="14" t="s">
        <v>26</v>
      </c>
      <c r="N437" s="16" t="n">
        <f aca="false">G437*H437</f>
        <v>474.8</v>
      </c>
      <c r="O437" s="18" t="n">
        <v>4.761904762</v>
      </c>
      <c r="P437" s="16" t="n">
        <f aca="false">I437</f>
        <v>23.74</v>
      </c>
      <c r="Q437" s="19" t="n">
        <v>8.2</v>
      </c>
      <c r="R437" s="0" t="str">
        <f aca="false">TEXT(K437,"mmm yyyy")</f>
        <v>Feb 2019</v>
      </c>
      <c r="S437" s="14" t="n">
        <f aca="false">HOUR(TIMEVALUE(L437))</f>
        <v>17</v>
      </c>
      <c r="T437" s="0" t="str">
        <f aca="false">IF(S437&lt;12,"Morning",IF(S437&lt;17,"Afternoon","Evening"))</f>
        <v>Evening</v>
      </c>
      <c r="U437" s="16" t="n">
        <f aca="false">G437*H437*0.05</f>
        <v>23.74</v>
      </c>
    </row>
    <row r="438" customFormat="false" ht="15" hidden="false" customHeight="false" outlineLevel="0" collapsed="false">
      <c r="A438" s="0" t="s">
        <v>801</v>
      </c>
      <c r="B438" s="0" t="s">
        <v>33</v>
      </c>
      <c r="C438" s="0" t="s">
        <v>65</v>
      </c>
      <c r="D438" s="0" t="s">
        <v>21</v>
      </c>
      <c r="E438" s="0" t="s">
        <v>57</v>
      </c>
      <c r="F438" s="0" t="s">
        <v>37</v>
      </c>
      <c r="G438" s="16" t="n">
        <v>80.46</v>
      </c>
      <c r="H438" s="0" t="n">
        <v>8</v>
      </c>
      <c r="I438" s="16" t="n">
        <f aca="false">G438*H438*0.05</f>
        <v>32.184</v>
      </c>
      <c r="J438" s="16" t="n">
        <f aca="false">G438*H438*1.05</f>
        <v>675.864</v>
      </c>
      <c r="K438" s="17" t="n">
        <v>43504</v>
      </c>
      <c r="L438" s="14" t="s">
        <v>759</v>
      </c>
      <c r="M438" s="14" t="s">
        <v>30</v>
      </c>
      <c r="N438" s="16" t="n">
        <f aca="false">G438*H438</f>
        <v>643.68</v>
      </c>
      <c r="O438" s="18" t="n">
        <v>4.761904762</v>
      </c>
      <c r="P438" s="16" t="n">
        <f aca="false">I438</f>
        <v>32.184</v>
      </c>
      <c r="Q438" s="19" t="n">
        <v>4.5</v>
      </c>
      <c r="R438" s="0" t="str">
        <f aca="false">TEXT(K438,"mmm yyyy")</f>
        <v>Feb 2019</v>
      </c>
      <c r="S438" s="14" t="n">
        <f aca="false">HOUR(TIMEVALUE(L438))</f>
        <v>16</v>
      </c>
      <c r="T438" s="0" t="str">
        <f aca="false">IF(S438&lt;12,"Morning",IF(S438&lt;17,"Afternoon","Evening"))</f>
        <v>Afternoon</v>
      </c>
      <c r="U438" s="16" t="n">
        <f aca="false">G438*H438*0.05</f>
        <v>32.184</v>
      </c>
    </row>
    <row r="439" customFormat="false" ht="15" hidden="false" customHeight="false" outlineLevel="0" collapsed="false">
      <c r="A439" s="0" t="s">
        <v>802</v>
      </c>
      <c r="B439" s="0" t="s">
        <v>29</v>
      </c>
      <c r="C439" s="0" t="s">
        <v>56</v>
      </c>
      <c r="D439" s="0" t="s">
        <v>22</v>
      </c>
      <c r="E439" s="0" t="s">
        <v>60</v>
      </c>
      <c r="F439" s="0" t="s">
        <v>27</v>
      </c>
      <c r="G439" s="16" t="n">
        <v>11.48</v>
      </c>
      <c r="H439" s="0" t="n">
        <v>7</v>
      </c>
      <c r="I439" s="16" t="n">
        <f aca="false">G439*H439*0.05</f>
        <v>4.018</v>
      </c>
      <c r="J439" s="16" t="n">
        <f aca="false">G439*H439*1.05</f>
        <v>84.378</v>
      </c>
      <c r="K439" s="17" t="n">
        <v>43504</v>
      </c>
      <c r="L439" s="14" t="s">
        <v>427</v>
      </c>
      <c r="M439" s="14" t="s">
        <v>26</v>
      </c>
      <c r="N439" s="16" t="n">
        <f aca="false">G439*H439</f>
        <v>80.36</v>
      </c>
      <c r="O439" s="18" t="n">
        <v>4.761904762</v>
      </c>
      <c r="P439" s="16" t="n">
        <f aca="false">I439</f>
        <v>4.018</v>
      </c>
      <c r="Q439" s="19" t="n">
        <v>4.1</v>
      </c>
      <c r="R439" s="0" t="str">
        <f aca="false">TEXT(K439,"mmm yyyy")</f>
        <v>Feb 2019</v>
      </c>
      <c r="S439" s="14" t="n">
        <f aca="false">HOUR(TIMEVALUE(L439))</f>
        <v>18</v>
      </c>
      <c r="T439" s="0" t="str">
        <f aca="false">IF(S439&lt;12,"Morning",IF(S439&lt;17,"Afternoon","Evening"))</f>
        <v>Evening</v>
      </c>
      <c r="U439" s="16" t="n">
        <f aca="false">G439*H439*0.05</f>
        <v>4.018</v>
      </c>
    </row>
    <row r="440" customFormat="false" ht="15" hidden="false" customHeight="false" outlineLevel="0" collapsed="false">
      <c r="A440" s="0" t="s">
        <v>803</v>
      </c>
      <c r="B440" s="0" t="s">
        <v>25</v>
      </c>
      <c r="C440" s="0" t="s">
        <v>68</v>
      </c>
      <c r="D440" s="0" t="s">
        <v>21</v>
      </c>
      <c r="E440" s="0" t="s">
        <v>60</v>
      </c>
      <c r="F440" s="0" t="s">
        <v>23</v>
      </c>
      <c r="G440" s="16" t="n">
        <v>23.95</v>
      </c>
      <c r="H440" s="0" t="n">
        <v>7</v>
      </c>
      <c r="I440" s="16" t="n">
        <f aca="false">G440*H440*0.05</f>
        <v>8.3825</v>
      </c>
      <c r="J440" s="16" t="n">
        <f aca="false">G440*H440*1.05</f>
        <v>176.0325</v>
      </c>
      <c r="K440" s="17" t="n">
        <v>43504</v>
      </c>
      <c r="L440" s="14" t="s">
        <v>804</v>
      </c>
      <c r="M440" s="14" t="s">
        <v>26</v>
      </c>
      <c r="N440" s="16" t="n">
        <f aca="false">G440*H440</f>
        <v>167.65</v>
      </c>
      <c r="O440" s="18" t="n">
        <v>4.761904762</v>
      </c>
      <c r="P440" s="16" t="n">
        <f aca="false">I440</f>
        <v>8.3825</v>
      </c>
      <c r="Q440" s="19" t="n">
        <v>4.9</v>
      </c>
      <c r="R440" s="0" t="str">
        <f aca="false">TEXT(K440,"mmm yyyy")</f>
        <v>Feb 2019</v>
      </c>
      <c r="S440" s="14" t="n">
        <f aca="false">HOUR(TIMEVALUE(L440))</f>
        <v>13</v>
      </c>
      <c r="T440" s="0" t="str">
        <f aca="false">IF(S440&lt;12,"Morning",IF(S440&lt;17,"Afternoon","Evening"))</f>
        <v>Afternoon</v>
      </c>
      <c r="U440" s="16" t="n">
        <f aca="false">G440*H440*0.05</f>
        <v>8.3825</v>
      </c>
    </row>
    <row r="441" customFormat="false" ht="15" hidden="false" customHeight="false" outlineLevel="0" collapsed="false">
      <c r="A441" s="0" t="s">
        <v>805</v>
      </c>
      <c r="B441" s="0" t="s">
        <v>29</v>
      </c>
      <c r="C441" s="0" t="s">
        <v>56</v>
      </c>
      <c r="D441" s="0" t="s">
        <v>21</v>
      </c>
      <c r="E441" s="0" t="s">
        <v>60</v>
      </c>
      <c r="F441" s="0" t="s">
        <v>37</v>
      </c>
      <c r="G441" s="16" t="n">
        <v>70.6</v>
      </c>
      <c r="H441" s="0" t="n">
        <v>10</v>
      </c>
      <c r="I441" s="16" t="n">
        <f aca="false">G441*H441*0.05</f>
        <v>35.3</v>
      </c>
      <c r="J441" s="16" t="n">
        <f aca="false">G441*H441*1.05</f>
        <v>741.3</v>
      </c>
      <c r="K441" s="17" t="n">
        <v>43504</v>
      </c>
      <c r="L441" s="14" t="s">
        <v>806</v>
      </c>
      <c r="M441" s="14" t="s">
        <v>34</v>
      </c>
      <c r="N441" s="16" t="n">
        <f aca="false">G441*H441</f>
        <v>706</v>
      </c>
      <c r="O441" s="18" t="n">
        <v>4.761904762</v>
      </c>
      <c r="P441" s="16" t="n">
        <f aca="false">I441</f>
        <v>35.3</v>
      </c>
      <c r="Q441" s="19" t="n">
        <v>9.1</v>
      </c>
      <c r="R441" s="0" t="str">
        <f aca="false">TEXT(K441,"mmm yyyy")</f>
        <v>Feb 2019</v>
      </c>
      <c r="S441" s="14" t="n">
        <f aca="false">HOUR(TIMEVALUE(L441))</f>
        <v>10</v>
      </c>
      <c r="T441" s="0" t="str">
        <f aca="false">IF(S441&lt;12,"Morning",IF(S441&lt;17,"Afternoon","Evening"))</f>
        <v>Morning</v>
      </c>
      <c r="U441" s="16" t="n">
        <f aca="false">G441*H441*0.05</f>
        <v>35.3</v>
      </c>
    </row>
    <row r="442" customFormat="false" ht="15" hidden="false" customHeight="false" outlineLevel="0" collapsed="false">
      <c r="A442" s="0" t="s">
        <v>807</v>
      </c>
      <c r="B442" s="0" t="s">
        <v>29</v>
      </c>
      <c r="C442" s="0" t="s">
        <v>56</v>
      </c>
      <c r="D442" s="0" t="s">
        <v>22</v>
      </c>
      <c r="E442" s="0" t="s">
        <v>57</v>
      </c>
      <c r="F442" s="0" t="s">
        <v>35</v>
      </c>
      <c r="G442" s="16" t="n">
        <v>69.81</v>
      </c>
      <c r="H442" s="0" t="n">
        <v>3</v>
      </c>
      <c r="I442" s="16" t="n">
        <f aca="false">G442*H442*0.05</f>
        <v>10.4715</v>
      </c>
      <c r="J442" s="16" t="n">
        <f aca="false">G442*H442*1.05</f>
        <v>219.9015</v>
      </c>
      <c r="K442" s="17" t="n">
        <v>43504</v>
      </c>
      <c r="L442" s="14" t="s">
        <v>257</v>
      </c>
      <c r="M442" s="14" t="s">
        <v>26</v>
      </c>
      <c r="N442" s="16" t="n">
        <f aca="false">G442*H442</f>
        <v>209.43</v>
      </c>
      <c r="O442" s="18" t="n">
        <v>4.761904762</v>
      </c>
      <c r="P442" s="16" t="n">
        <f aca="false">I442</f>
        <v>10.4715</v>
      </c>
      <c r="Q442" s="19" t="n">
        <v>9.5</v>
      </c>
      <c r="R442" s="0" t="str">
        <f aca="false">TEXT(K442,"mmm yyyy")</f>
        <v>Feb 2019</v>
      </c>
      <c r="S442" s="14" t="n">
        <f aca="false">HOUR(TIMEVALUE(L442))</f>
        <v>16</v>
      </c>
      <c r="T442" s="0" t="str">
        <f aca="false">IF(S442&lt;12,"Morning",IF(S442&lt;17,"Afternoon","Evening"))</f>
        <v>Afternoon</v>
      </c>
      <c r="U442" s="16" t="n">
        <f aca="false">G442*H442*0.05</f>
        <v>10.4715</v>
      </c>
    </row>
    <row r="443" customFormat="false" ht="15" hidden="false" customHeight="false" outlineLevel="0" collapsed="false">
      <c r="A443" s="0" t="s">
        <v>808</v>
      </c>
      <c r="B443" s="0" t="s">
        <v>25</v>
      </c>
      <c r="C443" s="0" t="s">
        <v>68</v>
      </c>
      <c r="D443" s="0" t="s">
        <v>21</v>
      </c>
      <c r="E443" s="0" t="s">
        <v>60</v>
      </c>
      <c r="F443" s="0" t="s">
        <v>36</v>
      </c>
      <c r="G443" s="16" t="n">
        <v>54.24</v>
      </c>
      <c r="H443" s="0" t="n">
        <v>9</v>
      </c>
      <c r="I443" s="16" t="n">
        <f aca="false">G443*H443*0.05</f>
        <v>24.408</v>
      </c>
      <c r="J443" s="16" t="n">
        <f aca="false">G443*H443*1.05</f>
        <v>512.568</v>
      </c>
      <c r="K443" s="17" t="n">
        <v>43505</v>
      </c>
      <c r="L443" s="14" t="s">
        <v>666</v>
      </c>
      <c r="M443" s="14" t="s">
        <v>26</v>
      </c>
      <c r="N443" s="16" t="n">
        <f aca="false">G443*H443</f>
        <v>488.16</v>
      </c>
      <c r="O443" s="18" t="n">
        <v>4.761904762</v>
      </c>
      <c r="P443" s="16" t="n">
        <f aca="false">I443</f>
        <v>24.408</v>
      </c>
      <c r="Q443" s="19" t="n">
        <v>7.6</v>
      </c>
      <c r="R443" s="0" t="str">
        <f aca="false">TEXT(K443,"mmm yyyy")</f>
        <v>Feb 2019</v>
      </c>
      <c r="S443" s="14" t="n">
        <f aca="false">HOUR(TIMEVALUE(L443))</f>
        <v>19</v>
      </c>
      <c r="T443" s="0" t="str">
        <f aca="false">IF(S443&lt;12,"Morning",IF(S443&lt;17,"Afternoon","Evening"))</f>
        <v>Evening</v>
      </c>
      <c r="U443" s="16" t="n">
        <f aca="false">G443*H443*0.05</f>
        <v>24.408</v>
      </c>
    </row>
    <row r="444" customFormat="false" ht="15" hidden="false" customHeight="false" outlineLevel="0" collapsed="false">
      <c r="A444" s="0" t="s">
        <v>809</v>
      </c>
      <c r="B444" s="0" t="s">
        <v>25</v>
      </c>
      <c r="C444" s="0" t="s">
        <v>68</v>
      </c>
      <c r="D444" s="0" t="s">
        <v>21</v>
      </c>
      <c r="E444" s="0" t="s">
        <v>60</v>
      </c>
      <c r="F444" s="0" t="s">
        <v>37</v>
      </c>
      <c r="G444" s="16" t="n">
        <v>51.89</v>
      </c>
      <c r="H444" s="0" t="n">
        <v>5</v>
      </c>
      <c r="I444" s="16" t="n">
        <f aca="false">G444*H444*0.05</f>
        <v>12.9725</v>
      </c>
      <c r="J444" s="16" t="n">
        <f aca="false">G444*H444*1.05</f>
        <v>272.4225</v>
      </c>
      <c r="K444" s="17" t="n">
        <v>43505</v>
      </c>
      <c r="L444" s="14" t="s">
        <v>265</v>
      </c>
      <c r="M444" s="14" t="s">
        <v>26</v>
      </c>
      <c r="N444" s="16" t="n">
        <f aca="false">G444*H444</f>
        <v>259.45</v>
      </c>
      <c r="O444" s="18" t="n">
        <v>4.761904762</v>
      </c>
      <c r="P444" s="16" t="n">
        <f aca="false">I444</f>
        <v>12.9725</v>
      </c>
      <c r="Q444" s="19" t="n">
        <v>10</v>
      </c>
      <c r="R444" s="0" t="str">
        <f aca="false">TEXT(K444,"mmm yyyy")</f>
        <v>Feb 2019</v>
      </c>
      <c r="S444" s="14" t="n">
        <f aca="false">HOUR(TIMEVALUE(L444))</f>
        <v>20</v>
      </c>
      <c r="T444" s="0" t="str">
        <f aca="false">IF(S444&lt;12,"Morning",IF(S444&lt;17,"Afternoon","Evening"))</f>
        <v>Evening</v>
      </c>
      <c r="U444" s="16" t="n">
        <f aca="false">G444*H444*0.05</f>
        <v>12.9725</v>
      </c>
    </row>
    <row r="445" customFormat="false" ht="15" hidden="false" customHeight="false" outlineLevel="0" collapsed="false">
      <c r="A445" s="0" t="s">
        <v>810</v>
      </c>
      <c r="B445" s="0" t="s">
        <v>25</v>
      </c>
      <c r="C445" s="0" t="s">
        <v>68</v>
      </c>
      <c r="D445" s="0" t="s">
        <v>22</v>
      </c>
      <c r="E445" s="0" t="s">
        <v>57</v>
      </c>
      <c r="F445" s="0" t="s">
        <v>27</v>
      </c>
      <c r="G445" s="16" t="n">
        <v>59.41</v>
      </c>
      <c r="H445" s="0" t="n">
        <v>3</v>
      </c>
      <c r="I445" s="16" t="n">
        <f aca="false">G445*H445*0.05</f>
        <v>8.9115</v>
      </c>
      <c r="J445" s="16" t="n">
        <f aca="false">G445*H445*1.05</f>
        <v>187.1415</v>
      </c>
      <c r="K445" s="17" t="n">
        <v>43505</v>
      </c>
      <c r="L445" s="14" t="s">
        <v>703</v>
      </c>
      <c r="M445" s="14" t="s">
        <v>34</v>
      </c>
      <c r="N445" s="16" t="n">
        <f aca="false">G445*H445</f>
        <v>178.23</v>
      </c>
      <c r="O445" s="18" t="n">
        <v>4.761904762</v>
      </c>
      <c r="P445" s="16" t="n">
        <f aca="false">I445</f>
        <v>8.9115</v>
      </c>
      <c r="Q445" s="19" t="n">
        <v>5</v>
      </c>
      <c r="R445" s="0" t="str">
        <f aca="false">TEXT(K445,"mmm yyyy")</f>
        <v>Feb 2019</v>
      </c>
      <c r="S445" s="14" t="n">
        <f aca="false">HOUR(TIMEVALUE(L445))</f>
        <v>19</v>
      </c>
      <c r="T445" s="0" t="str">
        <f aca="false">IF(S445&lt;12,"Morning",IF(S445&lt;17,"Afternoon","Evening"))</f>
        <v>Evening</v>
      </c>
      <c r="U445" s="16" t="n">
        <f aca="false">G445*H445*0.05</f>
        <v>8.9115</v>
      </c>
    </row>
    <row r="446" customFormat="false" ht="15" hidden="false" customHeight="false" outlineLevel="0" collapsed="false">
      <c r="A446" s="0" t="s">
        <v>811</v>
      </c>
      <c r="B446" s="0" t="s">
        <v>29</v>
      </c>
      <c r="C446" s="0" t="s">
        <v>56</v>
      </c>
      <c r="D446" s="0" t="s">
        <v>21</v>
      </c>
      <c r="E446" s="0" t="s">
        <v>57</v>
      </c>
      <c r="F446" s="0" t="s">
        <v>23</v>
      </c>
      <c r="G446" s="16" t="n">
        <v>67.49</v>
      </c>
      <c r="H446" s="0" t="n">
        <v>6</v>
      </c>
      <c r="I446" s="16" t="n">
        <f aca="false">G446*H446*0.05</f>
        <v>20.247</v>
      </c>
      <c r="J446" s="16" t="n">
        <f aca="false">G446*H446*1.05</f>
        <v>425.187</v>
      </c>
      <c r="K446" s="17" t="n">
        <v>43505</v>
      </c>
      <c r="L446" s="14" t="s">
        <v>812</v>
      </c>
      <c r="M446" s="14" t="s">
        <v>30</v>
      </c>
      <c r="N446" s="16" t="n">
        <f aca="false">G446*H446</f>
        <v>404.94</v>
      </c>
      <c r="O446" s="18" t="n">
        <v>4.761904762</v>
      </c>
      <c r="P446" s="16" t="n">
        <f aca="false">I446</f>
        <v>20.247</v>
      </c>
      <c r="Q446" s="19" t="n">
        <v>7</v>
      </c>
      <c r="R446" s="0" t="str">
        <f aca="false">TEXT(K446,"mmm yyyy")</f>
        <v>Feb 2019</v>
      </c>
      <c r="S446" s="14" t="n">
        <f aca="false">HOUR(TIMEVALUE(L446))</f>
        <v>10</v>
      </c>
      <c r="T446" s="0" t="str">
        <f aca="false">IF(S446&lt;12,"Morning",IF(S446&lt;17,"Afternoon","Evening"))</f>
        <v>Morning</v>
      </c>
      <c r="U446" s="16" t="n">
        <f aca="false">G446*H446*0.05</f>
        <v>20.247</v>
      </c>
    </row>
    <row r="447" customFormat="false" ht="15" hidden="false" customHeight="false" outlineLevel="0" collapsed="false">
      <c r="A447" s="0" t="s">
        <v>813</v>
      </c>
      <c r="B447" s="0" t="s">
        <v>25</v>
      </c>
      <c r="C447" s="0" t="s">
        <v>68</v>
      </c>
      <c r="D447" s="0" t="s">
        <v>21</v>
      </c>
      <c r="E447" s="0" t="s">
        <v>57</v>
      </c>
      <c r="F447" s="0" t="s">
        <v>23</v>
      </c>
      <c r="G447" s="16" t="n">
        <v>35.64</v>
      </c>
      <c r="H447" s="0" t="n">
        <v>7</v>
      </c>
      <c r="I447" s="16" t="n">
        <f aca="false">G447*H447*0.05</f>
        <v>12.474</v>
      </c>
      <c r="J447" s="16" t="n">
        <f aca="false">G447*H447*1.05</f>
        <v>261.954</v>
      </c>
      <c r="K447" s="17" t="n">
        <v>43505</v>
      </c>
      <c r="L447" s="14" t="s">
        <v>382</v>
      </c>
      <c r="M447" s="14" t="s">
        <v>26</v>
      </c>
      <c r="N447" s="16" t="n">
        <f aca="false">G447*H447</f>
        <v>249.48</v>
      </c>
      <c r="O447" s="18" t="n">
        <v>4.761904762</v>
      </c>
      <c r="P447" s="16" t="n">
        <f aca="false">I447</f>
        <v>12.474</v>
      </c>
      <c r="Q447" s="19" t="n">
        <v>7.6</v>
      </c>
      <c r="R447" s="0" t="str">
        <f aca="false">TEXT(K447,"mmm yyyy")</f>
        <v>Feb 2019</v>
      </c>
      <c r="S447" s="14" t="n">
        <f aca="false">HOUR(TIMEVALUE(L447))</f>
        <v>20</v>
      </c>
      <c r="T447" s="0" t="str">
        <f aca="false">IF(S447&lt;12,"Morning",IF(S447&lt;17,"Afternoon","Evening"))</f>
        <v>Evening</v>
      </c>
      <c r="U447" s="16" t="n">
        <f aca="false">G447*H447*0.05</f>
        <v>12.474</v>
      </c>
    </row>
    <row r="448" customFormat="false" ht="15" hidden="false" customHeight="false" outlineLevel="0" collapsed="false">
      <c r="A448" s="0" t="s">
        <v>814</v>
      </c>
      <c r="B448" s="0" t="s">
        <v>25</v>
      </c>
      <c r="C448" s="0" t="s">
        <v>68</v>
      </c>
      <c r="D448" s="0" t="s">
        <v>22</v>
      </c>
      <c r="E448" s="0" t="s">
        <v>57</v>
      </c>
      <c r="F448" s="0" t="s">
        <v>35</v>
      </c>
      <c r="G448" s="16" t="n">
        <v>67.83</v>
      </c>
      <c r="H448" s="0" t="n">
        <v>9</v>
      </c>
      <c r="I448" s="16" t="n">
        <f aca="false">G448*H448*0.05</f>
        <v>30.5235</v>
      </c>
      <c r="J448" s="16" t="n">
        <f aca="false">G448*H448*1.05</f>
        <v>640.9935</v>
      </c>
      <c r="K448" s="17" t="n">
        <v>43505</v>
      </c>
      <c r="L448" s="14" t="s">
        <v>815</v>
      </c>
      <c r="M448" s="14" t="s">
        <v>34</v>
      </c>
      <c r="N448" s="16" t="n">
        <f aca="false">G448*H448</f>
        <v>610.47</v>
      </c>
      <c r="O448" s="18" t="n">
        <v>4.761904762</v>
      </c>
      <c r="P448" s="16" t="n">
        <f aca="false">I448</f>
        <v>30.5235</v>
      </c>
      <c r="Q448" s="19" t="n">
        <v>7.4</v>
      </c>
      <c r="R448" s="0" t="str">
        <f aca="false">TEXT(K448,"mmm yyyy")</f>
        <v>Feb 2019</v>
      </c>
      <c r="S448" s="14" t="n">
        <f aca="false">HOUR(TIMEVALUE(L448))</f>
        <v>17</v>
      </c>
      <c r="T448" s="0" t="str">
        <f aca="false">IF(S448&lt;12,"Morning",IF(S448&lt;17,"Afternoon","Evening"))</f>
        <v>Evening</v>
      </c>
      <c r="U448" s="16" t="n">
        <f aca="false">G448*H448*0.05</f>
        <v>30.5235</v>
      </c>
    </row>
    <row r="449" customFormat="false" ht="15" hidden="false" customHeight="false" outlineLevel="0" collapsed="false">
      <c r="A449" s="0" t="s">
        <v>816</v>
      </c>
      <c r="B449" s="0" t="s">
        <v>25</v>
      </c>
      <c r="C449" s="0" t="s">
        <v>68</v>
      </c>
      <c r="D449" s="0" t="s">
        <v>22</v>
      </c>
      <c r="E449" s="0" t="s">
        <v>60</v>
      </c>
      <c r="F449" s="0" t="s">
        <v>37</v>
      </c>
      <c r="G449" s="16" t="n">
        <v>44.02</v>
      </c>
      <c r="H449" s="0" t="n">
        <v>1</v>
      </c>
      <c r="I449" s="16" t="n">
        <f aca="false">G449*H449*0.05</f>
        <v>2.201</v>
      </c>
      <c r="J449" s="16" t="n">
        <f aca="false">G449*H449*1.05</f>
        <v>46.221</v>
      </c>
      <c r="K449" s="17" t="n">
        <v>43505</v>
      </c>
      <c r="L449" s="14" t="s">
        <v>817</v>
      </c>
      <c r="M449" s="14" t="s">
        <v>34</v>
      </c>
      <c r="N449" s="16" t="n">
        <f aca="false">G449*H449</f>
        <v>44.02</v>
      </c>
      <c r="O449" s="18" t="n">
        <v>4.761904762</v>
      </c>
      <c r="P449" s="16" t="n">
        <f aca="false">I449</f>
        <v>2.201</v>
      </c>
      <c r="Q449" s="19" t="n">
        <v>4.5</v>
      </c>
      <c r="R449" s="0" t="str">
        <f aca="false">TEXT(K449,"mmm yyyy")</f>
        <v>Feb 2019</v>
      </c>
      <c r="S449" s="14" t="n">
        <f aca="false">HOUR(TIMEVALUE(L449))</f>
        <v>19</v>
      </c>
      <c r="T449" s="0" t="str">
        <f aca="false">IF(S449&lt;12,"Morning",IF(S449&lt;17,"Afternoon","Evening"))</f>
        <v>Evening</v>
      </c>
      <c r="U449" s="16" t="n">
        <f aca="false">G449*H449*0.05</f>
        <v>2.201</v>
      </c>
    </row>
    <row r="450" customFormat="false" ht="15" hidden="false" customHeight="false" outlineLevel="0" collapsed="false">
      <c r="A450" s="0" t="s">
        <v>818</v>
      </c>
      <c r="B450" s="0" t="s">
        <v>25</v>
      </c>
      <c r="C450" s="0" t="s">
        <v>68</v>
      </c>
      <c r="D450" s="0" t="s">
        <v>21</v>
      </c>
      <c r="E450" s="0" t="s">
        <v>57</v>
      </c>
      <c r="F450" s="0" t="s">
        <v>35</v>
      </c>
      <c r="G450" s="16" t="n">
        <v>99.64</v>
      </c>
      <c r="H450" s="0" t="n">
        <v>5</v>
      </c>
      <c r="I450" s="16" t="n">
        <f aca="false">G450*H450*0.05</f>
        <v>24.91</v>
      </c>
      <c r="J450" s="16" t="n">
        <f aca="false">G450*H450*1.05</f>
        <v>523.11</v>
      </c>
      <c r="K450" s="17" t="n">
        <v>43505</v>
      </c>
      <c r="L450" s="14" t="s">
        <v>261</v>
      </c>
      <c r="M450" s="14" t="s">
        <v>34</v>
      </c>
      <c r="N450" s="16" t="n">
        <f aca="false">G450*H450</f>
        <v>498.2</v>
      </c>
      <c r="O450" s="18" t="n">
        <v>4.761904762</v>
      </c>
      <c r="P450" s="16" t="n">
        <f aca="false">I450</f>
        <v>24.91</v>
      </c>
      <c r="Q450" s="19" t="n">
        <v>5.2</v>
      </c>
      <c r="R450" s="0" t="str">
        <f aca="false">TEXT(K450,"mmm yyyy")</f>
        <v>Feb 2019</v>
      </c>
      <c r="S450" s="14" t="n">
        <f aca="false">HOUR(TIMEVALUE(L450))</f>
        <v>16</v>
      </c>
      <c r="T450" s="0" t="str">
        <f aca="false">IF(S450&lt;12,"Morning",IF(S450&lt;17,"Afternoon","Evening"))</f>
        <v>Afternoon</v>
      </c>
      <c r="U450" s="16" t="n">
        <f aca="false">G450*H450*0.05</f>
        <v>24.91</v>
      </c>
    </row>
    <row r="451" customFormat="false" ht="15" hidden="false" customHeight="false" outlineLevel="0" collapsed="false">
      <c r="A451" s="0" t="s">
        <v>819</v>
      </c>
      <c r="B451" s="0" t="s">
        <v>33</v>
      </c>
      <c r="C451" s="0" t="s">
        <v>65</v>
      </c>
      <c r="D451" s="0" t="s">
        <v>22</v>
      </c>
      <c r="E451" s="0" t="s">
        <v>57</v>
      </c>
      <c r="F451" s="0" t="s">
        <v>27</v>
      </c>
      <c r="G451" s="16" t="n">
        <v>13.05</v>
      </c>
      <c r="H451" s="0" t="n">
        <v>10</v>
      </c>
      <c r="I451" s="16" t="n">
        <f aca="false">G451*H451*0.05</f>
        <v>6.525</v>
      </c>
      <c r="J451" s="16" t="n">
        <f aca="false">G451*H451*1.05</f>
        <v>137.025</v>
      </c>
      <c r="K451" s="17" t="n">
        <v>43505</v>
      </c>
      <c r="L451" s="14" t="s">
        <v>228</v>
      </c>
      <c r="M451" s="14" t="s">
        <v>30</v>
      </c>
      <c r="N451" s="16" t="n">
        <f aca="false">G451*H451</f>
        <v>130.5</v>
      </c>
      <c r="O451" s="18" t="n">
        <v>4.761904762</v>
      </c>
      <c r="P451" s="16" t="n">
        <f aca="false">I451</f>
        <v>6.525</v>
      </c>
      <c r="Q451" s="19" t="n">
        <v>6.7</v>
      </c>
      <c r="R451" s="0" t="str">
        <f aca="false">TEXT(K451,"mmm yyyy")</f>
        <v>Feb 2019</v>
      </c>
      <c r="S451" s="14" t="n">
        <f aca="false">HOUR(TIMEVALUE(L451))</f>
        <v>13</v>
      </c>
      <c r="T451" s="0" t="str">
        <f aca="false">IF(S451&lt;12,"Morning",IF(S451&lt;17,"Afternoon","Evening"))</f>
        <v>Afternoon</v>
      </c>
      <c r="U451" s="16" t="n">
        <f aca="false">G451*H451*0.05</f>
        <v>6.525</v>
      </c>
    </row>
    <row r="452" customFormat="false" ht="15" hidden="false" customHeight="false" outlineLevel="0" collapsed="false">
      <c r="A452" s="0" t="s">
        <v>820</v>
      </c>
      <c r="B452" s="0" t="s">
        <v>33</v>
      </c>
      <c r="C452" s="0" t="s">
        <v>65</v>
      </c>
      <c r="D452" s="0" t="s">
        <v>22</v>
      </c>
      <c r="E452" s="0" t="s">
        <v>60</v>
      </c>
      <c r="F452" s="0" t="s">
        <v>23</v>
      </c>
      <c r="G452" s="16" t="n">
        <v>49.44</v>
      </c>
      <c r="H452" s="0" t="n">
        <v>9</v>
      </c>
      <c r="I452" s="16" t="n">
        <f aca="false">G452*H452*0.05</f>
        <v>22.248</v>
      </c>
      <c r="J452" s="16" t="n">
        <f aca="false">G452*H452*1.05</f>
        <v>467.208</v>
      </c>
      <c r="K452" s="17" t="n">
        <v>43505</v>
      </c>
      <c r="L452" s="14" t="s">
        <v>629</v>
      </c>
      <c r="M452" s="14" t="s">
        <v>26</v>
      </c>
      <c r="N452" s="16" t="n">
        <f aca="false">G452*H452</f>
        <v>444.96</v>
      </c>
      <c r="O452" s="18" t="n">
        <v>4.761904762</v>
      </c>
      <c r="P452" s="16" t="n">
        <f aca="false">I452</f>
        <v>22.248</v>
      </c>
      <c r="Q452" s="19" t="n">
        <v>9.3</v>
      </c>
      <c r="R452" s="0" t="str">
        <f aca="false">TEXT(K452,"mmm yyyy")</f>
        <v>Feb 2019</v>
      </c>
      <c r="S452" s="14" t="n">
        <f aca="false">HOUR(TIMEVALUE(L452))</f>
        <v>16</v>
      </c>
      <c r="T452" s="0" t="str">
        <f aca="false">IF(S452&lt;12,"Morning",IF(S452&lt;17,"Afternoon","Evening"))</f>
        <v>Afternoon</v>
      </c>
      <c r="U452" s="16" t="n">
        <f aca="false">G452*H452*0.05</f>
        <v>22.248</v>
      </c>
    </row>
    <row r="453" customFormat="false" ht="15" hidden="false" customHeight="false" outlineLevel="0" collapsed="false">
      <c r="A453" s="0" t="s">
        <v>821</v>
      </c>
      <c r="B453" s="0" t="s">
        <v>25</v>
      </c>
      <c r="C453" s="0" t="s">
        <v>68</v>
      </c>
      <c r="D453" s="0" t="s">
        <v>22</v>
      </c>
      <c r="E453" s="0" t="s">
        <v>57</v>
      </c>
      <c r="F453" s="0" t="s">
        <v>36</v>
      </c>
      <c r="G453" s="16" t="n">
        <v>38.42</v>
      </c>
      <c r="H453" s="0" t="n">
        <v>10</v>
      </c>
      <c r="I453" s="16" t="n">
        <f aca="false">G453*H453*0.05</f>
        <v>19.21</v>
      </c>
      <c r="J453" s="16" t="n">
        <f aca="false">G453*H453*1.05</f>
        <v>403.41</v>
      </c>
      <c r="K453" s="17" t="n">
        <v>43505</v>
      </c>
      <c r="L453" s="14" t="s">
        <v>822</v>
      </c>
      <c r="M453" s="14" t="s">
        <v>30</v>
      </c>
      <c r="N453" s="16" t="n">
        <f aca="false">G453*H453</f>
        <v>384.2</v>
      </c>
      <c r="O453" s="18" t="n">
        <v>4.761904762</v>
      </c>
      <c r="P453" s="16" t="n">
        <f aca="false">I453</f>
        <v>19.21</v>
      </c>
      <c r="Q453" s="19" t="n">
        <v>8.2</v>
      </c>
      <c r="R453" s="0" t="str">
        <f aca="false">TEXT(K453,"mmm yyyy")</f>
        <v>Feb 2019</v>
      </c>
      <c r="S453" s="14" t="n">
        <f aca="false">HOUR(TIMEVALUE(L453))</f>
        <v>19</v>
      </c>
      <c r="T453" s="0" t="str">
        <f aca="false">IF(S453&lt;12,"Morning",IF(S453&lt;17,"Afternoon","Evening"))</f>
        <v>Evening</v>
      </c>
      <c r="U453" s="16" t="n">
        <f aca="false">G453*H453*0.05</f>
        <v>19.21</v>
      </c>
    </row>
    <row r="454" customFormat="false" ht="15" hidden="false" customHeight="false" outlineLevel="0" collapsed="false">
      <c r="A454" s="0" t="s">
        <v>823</v>
      </c>
      <c r="B454" s="0" t="s">
        <v>25</v>
      </c>
      <c r="C454" s="0" t="s">
        <v>68</v>
      </c>
      <c r="D454" s="0" t="s">
        <v>22</v>
      </c>
      <c r="E454" s="0" t="s">
        <v>57</v>
      </c>
      <c r="F454" s="0" t="s">
        <v>36</v>
      </c>
      <c r="G454" s="16" t="n">
        <v>42.87</v>
      </c>
      <c r="H454" s="0" t="n">
        <v>9</v>
      </c>
      <c r="I454" s="16" t="n">
        <f aca="false">G454*H454*0.05</f>
        <v>19.2915</v>
      </c>
      <c r="J454" s="16" t="n">
        <f aca="false">G454*H454*1.05</f>
        <v>405.1215</v>
      </c>
      <c r="K454" s="17" t="n">
        <v>43505</v>
      </c>
      <c r="L454" s="14" t="s">
        <v>824</v>
      </c>
      <c r="M454" s="14" t="s">
        <v>30</v>
      </c>
      <c r="N454" s="16" t="n">
        <f aca="false">G454*H454</f>
        <v>385.83</v>
      </c>
      <c r="O454" s="18" t="n">
        <v>4.761904762</v>
      </c>
      <c r="P454" s="16" t="n">
        <f aca="false">I454</f>
        <v>19.2915</v>
      </c>
      <c r="Q454" s="19" t="n">
        <v>6.8</v>
      </c>
      <c r="R454" s="0" t="str">
        <f aca="false">TEXT(K454,"mmm yyyy")</f>
        <v>Feb 2019</v>
      </c>
      <c r="S454" s="14" t="n">
        <f aca="false">HOUR(TIMEVALUE(L454))</f>
        <v>17</v>
      </c>
      <c r="T454" s="0" t="str">
        <f aca="false">IF(S454&lt;12,"Morning",IF(S454&lt;17,"Afternoon","Evening"))</f>
        <v>Evening</v>
      </c>
      <c r="U454" s="16" t="n">
        <f aca="false">G454*H454*0.05</f>
        <v>19.2915</v>
      </c>
    </row>
    <row r="455" customFormat="false" ht="15" hidden="false" customHeight="false" outlineLevel="0" collapsed="false">
      <c r="A455" s="0" t="s">
        <v>825</v>
      </c>
      <c r="B455" s="0" t="s">
        <v>33</v>
      </c>
      <c r="C455" s="0" t="s">
        <v>65</v>
      </c>
      <c r="D455" s="0" t="s">
        <v>21</v>
      </c>
      <c r="E455" s="0" t="s">
        <v>57</v>
      </c>
      <c r="F455" s="0" t="s">
        <v>31</v>
      </c>
      <c r="G455" s="16" t="n">
        <v>57.67</v>
      </c>
      <c r="H455" s="0" t="n">
        <v>4</v>
      </c>
      <c r="I455" s="16" t="n">
        <f aca="false">G455*H455*0.05</f>
        <v>11.534</v>
      </c>
      <c r="J455" s="16" t="n">
        <f aca="false">G455*H455*1.05</f>
        <v>242.214</v>
      </c>
      <c r="K455" s="17" t="n">
        <v>43505</v>
      </c>
      <c r="L455" s="14" t="s">
        <v>421</v>
      </c>
      <c r="M455" s="14" t="s">
        <v>26</v>
      </c>
      <c r="N455" s="16" t="n">
        <f aca="false">G455*H455</f>
        <v>230.68</v>
      </c>
      <c r="O455" s="18" t="n">
        <v>4.761904762</v>
      </c>
      <c r="P455" s="16" t="n">
        <f aca="false">I455</f>
        <v>11.534</v>
      </c>
      <c r="Q455" s="19" t="n">
        <v>8</v>
      </c>
      <c r="R455" s="0" t="str">
        <f aca="false">TEXT(K455,"mmm yyyy")</f>
        <v>Feb 2019</v>
      </c>
      <c r="S455" s="14" t="n">
        <f aca="false">HOUR(TIMEVALUE(L455))</f>
        <v>14</v>
      </c>
      <c r="T455" s="0" t="str">
        <f aca="false">IF(S455&lt;12,"Morning",IF(S455&lt;17,"Afternoon","Evening"))</f>
        <v>Afternoon</v>
      </c>
      <c r="U455" s="16" t="n">
        <f aca="false">G455*H455*0.05</f>
        <v>11.534</v>
      </c>
    </row>
    <row r="456" customFormat="false" ht="15" hidden="false" customHeight="false" outlineLevel="0" collapsed="false">
      <c r="A456" s="0" t="s">
        <v>826</v>
      </c>
      <c r="B456" s="0" t="s">
        <v>25</v>
      </c>
      <c r="C456" s="0" t="s">
        <v>68</v>
      </c>
      <c r="D456" s="0" t="s">
        <v>22</v>
      </c>
      <c r="E456" s="0" t="s">
        <v>57</v>
      </c>
      <c r="F456" s="0" t="s">
        <v>35</v>
      </c>
      <c r="G456" s="16" t="n">
        <v>99.74</v>
      </c>
      <c r="H456" s="0" t="n">
        <v>3</v>
      </c>
      <c r="I456" s="16" t="n">
        <f aca="false">G456*H456*0.05</f>
        <v>14.961</v>
      </c>
      <c r="J456" s="16" t="n">
        <f aca="false">G456*H456*1.05</f>
        <v>314.181</v>
      </c>
      <c r="K456" s="17" t="n">
        <v>43505</v>
      </c>
      <c r="L456" s="14" t="s">
        <v>470</v>
      </c>
      <c r="M456" s="14" t="s">
        <v>34</v>
      </c>
      <c r="N456" s="16" t="n">
        <f aca="false">G456*H456</f>
        <v>299.22</v>
      </c>
      <c r="O456" s="18" t="n">
        <v>4.761904762</v>
      </c>
      <c r="P456" s="16" t="n">
        <f aca="false">I456</f>
        <v>14.961</v>
      </c>
      <c r="Q456" s="19" t="n">
        <v>7.1</v>
      </c>
      <c r="R456" s="0" t="str">
        <f aca="false">TEXT(K456,"mmm yyyy")</f>
        <v>Feb 2019</v>
      </c>
      <c r="S456" s="14" t="n">
        <f aca="false">HOUR(TIMEVALUE(L456))</f>
        <v>18</v>
      </c>
      <c r="T456" s="0" t="str">
        <f aca="false">IF(S456&lt;12,"Morning",IF(S456&lt;17,"Afternoon","Evening"))</f>
        <v>Evening</v>
      </c>
      <c r="U456" s="16" t="n">
        <f aca="false">G456*H456*0.05</f>
        <v>14.961</v>
      </c>
    </row>
    <row r="457" customFormat="false" ht="15" hidden="false" customHeight="false" outlineLevel="0" collapsed="false">
      <c r="A457" s="0" t="s">
        <v>827</v>
      </c>
      <c r="B457" s="0" t="s">
        <v>25</v>
      </c>
      <c r="C457" s="0" t="s">
        <v>68</v>
      </c>
      <c r="D457" s="0" t="s">
        <v>21</v>
      </c>
      <c r="E457" s="0" t="s">
        <v>60</v>
      </c>
      <c r="F457" s="0" t="s">
        <v>23</v>
      </c>
      <c r="G457" s="16" t="n">
        <v>30.02</v>
      </c>
      <c r="H457" s="0" t="n">
        <v>7</v>
      </c>
      <c r="I457" s="16" t="n">
        <f aca="false">G457*H457*0.05</f>
        <v>10.507</v>
      </c>
      <c r="J457" s="16" t="n">
        <f aca="false">G457*H457*1.05</f>
        <v>220.647</v>
      </c>
      <c r="K457" s="17" t="n">
        <v>43505</v>
      </c>
      <c r="L457" s="14" t="s">
        <v>198</v>
      </c>
      <c r="M457" s="14" t="s">
        <v>26</v>
      </c>
      <c r="N457" s="16" t="n">
        <f aca="false">G457*H457</f>
        <v>210.14</v>
      </c>
      <c r="O457" s="18" t="n">
        <v>4.761904762</v>
      </c>
      <c r="P457" s="16" t="n">
        <f aca="false">I457</f>
        <v>10.507</v>
      </c>
      <c r="Q457" s="19" t="n">
        <v>9.5</v>
      </c>
      <c r="R457" s="0" t="str">
        <f aca="false">TEXT(K457,"mmm yyyy")</f>
        <v>Feb 2019</v>
      </c>
      <c r="S457" s="14" t="n">
        <f aca="false">HOUR(TIMEVALUE(L457))</f>
        <v>14</v>
      </c>
      <c r="T457" s="0" t="str">
        <f aca="false">IF(S457&lt;12,"Morning",IF(S457&lt;17,"Afternoon","Evening"))</f>
        <v>Afternoon</v>
      </c>
      <c r="U457" s="16" t="n">
        <f aca="false">G457*H457*0.05</f>
        <v>10.507</v>
      </c>
    </row>
    <row r="458" customFormat="false" ht="15" hidden="false" customHeight="false" outlineLevel="0" collapsed="false">
      <c r="A458" s="0" t="s">
        <v>828</v>
      </c>
      <c r="B458" s="0" t="s">
        <v>25</v>
      </c>
      <c r="C458" s="0" t="s">
        <v>68</v>
      </c>
      <c r="D458" s="0" t="s">
        <v>22</v>
      </c>
      <c r="E458" s="0" t="s">
        <v>57</v>
      </c>
      <c r="F458" s="0" t="s">
        <v>23</v>
      </c>
      <c r="G458" s="16" t="n">
        <v>31.97</v>
      </c>
      <c r="H458" s="0" t="n">
        <v>9</v>
      </c>
      <c r="I458" s="16" t="n">
        <f aca="false">G458*H458*0.05</f>
        <v>14.3865</v>
      </c>
      <c r="J458" s="16" t="n">
        <f aca="false">G458*H458*1.05</f>
        <v>302.1165</v>
      </c>
      <c r="K458" s="17" t="n">
        <v>43505</v>
      </c>
      <c r="L458" s="14" t="s">
        <v>133</v>
      </c>
      <c r="M458" s="14" t="s">
        <v>30</v>
      </c>
      <c r="N458" s="16" t="n">
        <f aca="false">G458*H458</f>
        <v>287.73</v>
      </c>
      <c r="O458" s="18" t="n">
        <v>4.761904762</v>
      </c>
      <c r="P458" s="16" t="n">
        <f aca="false">I458</f>
        <v>14.3865</v>
      </c>
      <c r="Q458" s="19" t="n">
        <v>6.7</v>
      </c>
      <c r="R458" s="0" t="str">
        <f aca="false">TEXT(K458,"mmm yyyy")</f>
        <v>Feb 2019</v>
      </c>
      <c r="S458" s="14" t="n">
        <f aca="false">HOUR(TIMEVALUE(L458))</f>
        <v>13</v>
      </c>
      <c r="T458" s="0" t="str">
        <f aca="false">IF(S458&lt;12,"Morning",IF(S458&lt;17,"Afternoon","Evening"))</f>
        <v>Afternoon</v>
      </c>
      <c r="U458" s="16" t="n">
        <f aca="false">G458*H458*0.05</f>
        <v>14.3865</v>
      </c>
    </row>
    <row r="459" customFormat="false" ht="15" hidden="false" customHeight="false" outlineLevel="0" collapsed="false">
      <c r="A459" s="0" t="s">
        <v>829</v>
      </c>
      <c r="B459" s="0" t="s">
        <v>25</v>
      </c>
      <c r="C459" s="0" t="s">
        <v>68</v>
      </c>
      <c r="D459" s="0" t="s">
        <v>21</v>
      </c>
      <c r="E459" s="0" t="s">
        <v>60</v>
      </c>
      <c r="F459" s="0" t="s">
        <v>23</v>
      </c>
      <c r="G459" s="16" t="n">
        <v>15.97</v>
      </c>
      <c r="H459" s="0" t="n">
        <v>1</v>
      </c>
      <c r="I459" s="16" t="n">
        <f aca="false">G459*H459*0.05</f>
        <v>0.7985</v>
      </c>
      <c r="J459" s="16" t="n">
        <f aca="false">G459*H459*1.05</f>
        <v>16.7685</v>
      </c>
      <c r="K459" s="17" t="n">
        <v>43506</v>
      </c>
      <c r="L459" s="14" t="s">
        <v>830</v>
      </c>
      <c r="M459" s="14" t="s">
        <v>26</v>
      </c>
      <c r="N459" s="16" t="n">
        <f aca="false">G459*H459</f>
        <v>15.97</v>
      </c>
      <c r="O459" s="18" t="n">
        <v>4.761904762</v>
      </c>
      <c r="P459" s="16" t="n">
        <f aca="false">I459</f>
        <v>0.7985</v>
      </c>
      <c r="Q459" s="19" t="n">
        <v>9.8</v>
      </c>
      <c r="R459" s="0" t="str">
        <f aca="false">TEXT(K459,"mmm yyyy")</f>
        <v>Feb 2019</v>
      </c>
      <c r="S459" s="14" t="n">
        <f aca="false">HOUR(TIMEVALUE(L459))</f>
        <v>10</v>
      </c>
      <c r="T459" s="0" t="str">
        <f aca="false">IF(S459&lt;12,"Morning",IF(S459&lt;17,"Afternoon","Evening"))</f>
        <v>Morning</v>
      </c>
      <c r="U459" s="16" t="n">
        <f aca="false">G459*H459*0.05</f>
        <v>0.7985</v>
      </c>
    </row>
    <row r="460" customFormat="false" ht="15" hidden="false" customHeight="false" outlineLevel="0" collapsed="false">
      <c r="A460" s="0" t="s">
        <v>831</v>
      </c>
      <c r="B460" s="0" t="s">
        <v>29</v>
      </c>
      <c r="C460" s="0" t="s">
        <v>56</v>
      </c>
      <c r="D460" s="0" t="s">
        <v>21</v>
      </c>
      <c r="E460" s="0" t="s">
        <v>57</v>
      </c>
      <c r="F460" s="0" t="s">
        <v>27</v>
      </c>
      <c r="G460" s="16" t="n">
        <v>29.98</v>
      </c>
      <c r="H460" s="0" t="n">
        <v>1</v>
      </c>
      <c r="I460" s="16" t="n">
        <f aca="false">G460*H460*0.05</f>
        <v>1.499</v>
      </c>
      <c r="J460" s="16" t="n">
        <f aca="false">G460*H460*1.05</f>
        <v>31.479</v>
      </c>
      <c r="K460" s="17" t="n">
        <v>43506</v>
      </c>
      <c r="L460" s="14" t="s">
        <v>439</v>
      </c>
      <c r="M460" s="14" t="s">
        <v>26</v>
      </c>
      <c r="N460" s="16" t="n">
        <f aca="false">G460*H460</f>
        <v>29.98</v>
      </c>
      <c r="O460" s="18" t="n">
        <v>4.761904762</v>
      </c>
      <c r="P460" s="16" t="n">
        <f aca="false">I460</f>
        <v>1.499</v>
      </c>
      <c r="Q460" s="19" t="n">
        <v>8.9</v>
      </c>
      <c r="R460" s="0" t="str">
        <f aca="false">TEXT(K460,"mmm yyyy")</f>
        <v>Feb 2019</v>
      </c>
      <c r="S460" s="14" t="n">
        <f aca="false">HOUR(TIMEVALUE(L460))</f>
        <v>15</v>
      </c>
      <c r="T460" s="0" t="str">
        <f aca="false">IF(S460&lt;12,"Morning",IF(S460&lt;17,"Afternoon","Evening"))</f>
        <v>Afternoon</v>
      </c>
      <c r="U460" s="16" t="n">
        <f aca="false">G460*H460*0.05</f>
        <v>1.499</v>
      </c>
    </row>
    <row r="461" customFormat="false" ht="15" hidden="false" customHeight="false" outlineLevel="0" collapsed="false">
      <c r="A461" s="0" t="s">
        <v>832</v>
      </c>
      <c r="B461" s="0" t="s">
        <v>33</v>
      </c>
      <c r="C461" s="0" t="s">
        <v>65</v>
      </c>
      <c r="D461" s="0" t="s">
        <v>22</v>
      </c>
      <c r="E461" s="0" t="s">
        <v>60</v>
      </c>
      <c r="F461" s="0" t="s">
        <v>35</v>
      </c>
      <c r="G461" s="16" t="n">
        <v>49.79</v>
      </c>
      <c r="H461" s="0" t="n">
        <v>9</v>
      </c>
      <c r="I461" s="16" t="n">
        <f aca="false">G461*H461*0.05</f>
        <v>22.4055</v>
      </c>
      <c r="J461" s="16" t="n">
        <f aca="false">G461*H461*1.05</f>
        <v>470.5155</v>
      </c>
      <c r="K461" s="17" t="n">
        <v>43506</v>
      </c>
      <c r="L461" s="14" t="s">
        <v>709</v>
      </c>
      <c r="M461" s="14" t="s">
        <v>34</v>
      </c>
      <c r="N461" s="16" t="n">
        <f aca="false">G461*H461</f>
        <v>448.11</v>
      </c>
      <c r="O461" s="18" t="n">
        <v>4.761904762</v>
      </c>
      <c r="P461" s="16" t="n">
        <f aca="false">I461</f>
        <v>22.4055</v>
      </c>
      <c r="Q461" s="19" t="n">
        <v>9.8</v>
      </c>
      <c r="R461" s="0" t="str">
        <f aca="false">TEXT(K461,"mmm yyyy")</f>
        <v>Feb 2019</v>
      </c>
      <c r="S461" s="14" t="n">
        <f aca="false">HOUR(TIMEVALUE(L461))</f>
        <v>19</v>
      </c>
      <c r="T461" s="0" t="str">
        <f aca="false">IF(S461&lt;12,"Morning",IF(S461&lt;17,"Afternoon","Evening"))</f>
        <v>Evening</v>
      </c>
      <c r="U461" s="16" t="n">
        <f aca="false">G461*H461*0.05</f>
        <v>22.4055</v>
      </c>
    </row>
    <row r="462" customFormat="false" ht="15" hidden="false" customHeight="false" outlineLevel="0" collapsed="false">
      <c r="A462" s="0" t="s">
        <v>833</v>
      </c>
      <c r="B462" s="0" t="s">
        <v>25</v>
      </c>
      <c r="C462" s="0" t="s">
        <v>68</v>
      </c>
      <c r="D462" s="0" t="s">
        <v>22</v>
      </c>
      <c r="E462" s="0" t="s">
        <v>57</v>
      </c>
      <c r="F462" s="0" t="s">
        <v>37</v>
      </c>
      <c r="G462" s="16" t="n">
        <v>29.51</v>
      </c>
      <c r="H462" s="0" t="n">
        <v>10</v>
      </c>
      <c r="I462" s="16" t="n">
        <f aca="false">G462*H462*0.05</f>
        <v>14.755</v>
      </c>
      <c r="J462" s="16" t="n">
        <f aca="false">G462*H462*1.05</f>
        <v>309.855</v>
      </c>
      <c r="K462" s="17" t="n">
        <v>43506</v>
      </c>
      <c r="L462" s="14" t="s">
        <v>834</v>
      </c>
      <c r="M462" s="14" t="s">
        <v>26</v>
      </c>
      <c r="N462" s="16" t="n">
        <f aca="false">G462*H462</f>
        <v>295.1</v>
      </c>
      <c r="O462" s="18" t="n">
        <v>4.761904762</v>
      </c>
      <c r="P462" s="16" t="n">
        <f aca="false">I462</f>
        <v>14.755</v>
      </c>
      <c r="Q462" s="19" t="n">
        <v>5.2</v>
      </c>
      <c r="R462" s="0" t="str">
        <f aca="false">TEXT(K462,"mmm yyyy")</f>
        <v>Feb 2019</v>
      </c>
      <c r="S462" s="14" t="n">
        <f aca="false">HOUR(TIMEVALUE(L462))</f>
        <v>15</v>
      </c>
      <c r="T462" s="0" t="str">
        <f aca="false">IF(S462&lt;12,"Morning",IF(S462&lt;17,"Afternoon","Evening"))</f>
        <v>Afternoon</v>
      </c>
      <c r="U462" s="16" t="n">
        <f aca="false">G462*H462*0.05</f>
        <v>14.755</v>
      </c>
    </row>
    <row r="463" customFormat="false" ht="15" hidden="false" customHeight="false" outlineLevel="0" collapsed="false">
      <c r="A463" s="0" t="s">
        <v>835</v>
      </c>
      <c r="B463" s="0" t="s">
        <v>33</v>
      </c>
      <c r="C463" s="0" t="s">
        <v>65</v>
      </c>
      <c r="D463" s="0" t="s">
        <v>22</v>
      </c>
      <c r="E463" s="0" t="s">
        <v>60</v>
      </c>
      <c r="F463" s="0" t="s">
        <v>27</v>
      </c>
      <c r="G463" s="16" t="n">
        <v>24.35</v>
      </c>
      <c r="H463" s="0" t="n">
        <v>7</v>
      </c>
      <c r="I463" s="16" t="n">
        <f aca="false">G463*H463*0.05</f>
        <v>8.5225</v>
      </c>
      <c r="J463" s="16" t="n">
        <f aca="false">G463*H463*1.05</f>
        <v>178.9725</v>
      </c>
      <c r="K463" s="17" t="n">
        <v>43506</v>
      </c>
      <c r="L463" s="14" t="s">
        <v>325</v>
      </c>
      <c r="M463" s="14" t="s">
        <v>34</v>
      </c>
      <c r="N463" s="16" t="n">
        <f aca="false">G463*H463</f>
        <v>170.45</v>
      </c>
      <c r="O463" s="18" t="n">
        <v>4.761904762</v>
      </c>
      <c r="P463" s="16" t="n">
        <f aca="false">I463</f>
        <v>8.5225</v>
      </c>
      <c r="Q463" s="19" t="n">
        <v>6.5</v>
      </c>
      <c r="R463" s="0" t="str">
        <f aca="false">TEXT(K463,"mmm yyyy")</f>
        <v>Feb 2019</v>
      </c>
      <c r="S463" s="14" t="n">
        <f aca="false">HOUR(TIMEVALUE(L463))</f>
        <v>11</v>
      </c>
      <c r="T463" s="0" t="str">
        <f aca="false">IF(S463&lt;12,"Morning",IF(S463&lt;17,"Afternoon","Evening"))</f>
        <v>Morning</v>
      </c>
      <c r="U463" s="16" t="n">
        <f aca="false">G463*H463*0.05</f>
        <v>8.5225</v>
      </c>
    </row>
    <row r="464" customFormat="false" ht="15" hidden="false" customHeight="false" outlineLevel="0" collapsed="false">
      <c r="A464" s="0" t="s">
        <v>836</v>
      </c>
      <c r="B464" s="0" t="s">
        <v>33</v>
      </c>
      <c r="C464" s="0" t="s">
        <v>65</v>
      </c>
      <c r="D464" s="0" t="s">
        <v>22</v>
      </c>
      <c r="E464" s="0" t="s">
        <v>60</v>
      </c>
      <c r="F464" s="0" t="s">
        <v>36</v>
      </c>
      <c r="G464" s="16" t="n">
        <v>20.71</v>
      </c>
      <c r="H464" s="0" t="n">
        <v>10</v>
      </c>
      <c r="I464" s="16" t="n">
        <f aca="false">G464*H464*0.05</f>
        <v>10.355</v>
      </c>
      <c r="J464" s="16" t="n">
        <f aca="false">G464*H464*1.05</f>
        <v>217.455</v>
      </c>
      <c r="K464" s="17" t="n">
        <v>43506</v>
      </c>
      <c r="L464" s="14" t="s">
        <v>472</v>
      </c>
      <c r="M464" s="14" t="s">
        <v>26</v>
      </c>
      <c r="N464" s="16" t="n">
        <f aca="false">G464*H464</f>
        <v>207.1</v>
      </c>
      <c r="O464" s="18" t="n">
        <v>4.761904762</v>
      </c>
      <c r="P464" s="16" t="n">
        <f aca="false">I464</f>
        <v>10.355</v>
      </c>
      <c r="Q464" s="19" t="n">
        <v>8.3</v>
      </c>
      <c r="R464" s="0" t="str">
        <f aca="false">TEXT(K464,"mmm yyyy")</f>
        <v>Feb 2019</v>
      </c>
      <c r="S464" s="14" t="n">
        <f aca="false">HOUR(TIMEVALUE(L464))</f>
        <v>11</v>
      </c>
      <c r="T464" s="0" t="str">
        <f aca="false">IF(S464&lt;12,"Morning",IF(S464&lt;17,"Afternoon","Evening"))</f>
        <v>Morning</v>
      </c>
      <c r="U464" s="16" t="n">
        <f aca="false">G464*H464*0.05</f>
        <v>10.355</v>
      </c>
    </row>
    <row r="465" customFormat="false" ht="15" hidden="false" customHeight="false" outlineLevel="0" collapsed="false">
      <c r="A465" s="0" t="s">
        <v>837</v>
      </c>
      <c r="B465" s="0" t="s">
        <v>29</v>
      </c>
      <c r="C465" s="0" t="s">
        <v>56</v>
      </c>
      <c r="D465" s="0" t="s">
        <v>22</v>
      </c>
      <c r="E465" s="0" t="s">
        <v>57</v>
      </c>
      <c r="F465" s="0" t="s">
        <v>23</v>
      </c>
      <c r="G465" s="16" t="n">
        <v>76.52</v>
      </c>
      <c r="H465" s="0" t="n">
        <v>9</v>
      </c>
      <c r="I465" s="16" t="n">
        <f aca="false">G465*H465*0.05</f>
        <v>34.434</v>
      </c>
      <c r="J465" s="16" t="n">
        <f aca="false">G465*H465*1.05</f>
        <v>723.114</v>
      </c>
      <c r="K465" s="17" t="n">
        <v>43506</v>
      </c>
      <c r="L465" s="14" t="s">
        <v>180</v>
      </c>
      <c r="M465" s="14" t="s">
        <v>34</v>
      </c>
      <c r="N465" s="16" t="n">
        <f aca="false">G465*H465</f>
        <v>688.68</v>
      </c>
      <c r="O465" s="18" t="n">
        <v>4.761904762</v>
      </c>
      <c r="P465" s="16" t="n">
        <f aca="false">I465</f>
        <v>34.434</v>
      </c>
      <c r="Q465" s="19" t="n">
        <v>5.1</v>
      </c>
      <c r="R465" s="0" t="str">
        <f aca="false">TEXT(K465,"mmm yyyy")</f>
        <v>Feb 2019</v>
      </c>
      <c r="S465" s="14" t="n">
        <f aca="false">HOUR(TIMEVALUE(L465))</f>
        <v>15</v>
      </c>
      <c r="T465" s="0" t="str">
        <f aca="false">IF(S465&lt;12,"Morning",IF(S465&lt;17,"Afternoon","Evening"))</f>
        <v>Afternoon</v>
      </c>
      <c r="U465" s="16" t="n">
        <f aca="false">G465*H465*0.05</f>
        <v>34.434</v>
      </c>
    </row>
    <row r="466" customFormat="false" ht="15" hidden="false" customHeight="false" outlineLevel="0" collapsed="false">
      <c r="A466" s="0" t="s">
        <v>838</v>
      </c>
      <c r="B466" s="0" t="s">
        <v>33</v>
      </c>
      <c r="C466" s="0" t="s">
        <v>65</v>
      </c>
      <c r="D466" s="0" t="s">
        <v>21</v>
      </c>
      <c r="E466" s="0" t="s">
        <v>57</v>
      </c>
      <c r="F466" s="0" t="s">
        <v>36</v>
      </c>
      <c r="G466" s="16" t="n">
        <v>71.99</v>
      </c>
      <c r="H466" s="0" t="n">
        <v>7</v>
      </c>
      <c r="I466" s="16" t="n">
        <f aca="false">G466*H466*0.05</f>
        <v>25.1965</v>
      </c>
      <c r="J466" s="16" t="n">
        <f aca="false">G466*H466*1.05</f>
        <v>529.1265</v>
      </c>
      <c r="K466" s="17" t="n">
        <v>43506</v>
      </c>
      <c r="L466" s="14" t="s">
        <v>446</v>
      </c>
      <c r="M466" s="14" t="s">
        <v>30</v>
      </c>
      <c r="N466" s="16" t="n">
        <f aca="false">G466*H466</f>
        <v>503.93</v>
      </c>
      <c r="O466" s="18" t="n">
        <v>4.761904762</v>
      </c>
      <c r="P466" s="16" t="n">
        <f aca="false">I466</f>
        <v>25.1965</v>
      </c>
      <c r="Q466" s="19" t="n">
        <v>7</v>
      </c>
      <c r="R466" s="0" t="str">
        <f aca="false">TEXT(K466,"mmm yyyy")</f>
        <v>Feb 2019</v>
      </c>
      <c r="S466" s="14" t="n">
        <f aca="false">HOUR(TIMEVALUE(L466))</f>
        <v>20</v>
      </c>
      <c r="T466" s="0" t="str">
        <f aca="false">IF(S466&lt;12,"Morning",IF(S466&lt;17,"Afternoon","Evening"))</f>
        <v>Evening</v>
      </c>
      <c r="U466" s="16" t="n">
        <f aca="false">G466*H466*0.05</f>
        <v>25.1965</v>
      </c>
    </row>
    <row r="467" customFormat="false" ht="15" hidden="false" customHeight="false" outlineLevel="0" collapsed="false">
      <c r="A467" s="0" t="s">
        <v>839</v>
      </c>
      <c r="B467" s="0" t="s">
        <v>25</v>
      </c>
      <c r="C467" s="0" t="s">
        <v>68</v>
      </c>
      <c r="D467" s="0" t="s">
        <v>22</v>
      </c>
      <c r="E467" s="0" t="s">
        <v>60</v>
      </c>
      <c r="F467" s="0" t="s">
        <v>35</v>
      </c>
      <c r="G467" s="16" t="n">
        <v>49.11</v>
      </c>
      <c r="H467" s="0" t="n">
        <v>6</v>
      </c>
      <c r="I467" s="16" t="n">
        <f aca="false">G467*H467*0.05</f>
        <v>14.733</v>
      </c>
      <c r="J467" s="16" t="n">
        <f aca="false">G467*H467*1.05</f>
        <v>309.393</v>
      </c>
      <c r="K467" s="17" t="n">
        <v>43506</v>
      </c>
      <c r="L467" s="14" t="s">
        <v>840</v>
      </c>
      <c r="M467" s="14" t="s">
        <v>26</v>
      </c>
      <c r="N467" s="16" t="n">
        <f aca="false">G467*H467</f>
        <v>294.66</v>
      </c>
      <c r="O467" s="18" t="n">
        <v>4.761904762</v>
      </c>
      <c r="P467" s="16" t="n">
        <f aca="false">I467</f>
        <v>14.733</v>
      </c>
      <c r="Q467" s="19" t="n">
        <v>6.9</v>
      </c>
      <c r="R467" s="0" t="str">
        <f aca="false">TEXT(K467,"mmm yyyy")</f>
        <v>Feb 2019</v>
      </c>
      <c r="S467" s="14" t="n">
        <f aca="false">HOUR(TIMEVALUE(L467))</f>
        <v>10</v>
      </c>
      <c r="T467" s="0" t="str">
        <f aca="false">IF(S467&lt;12,"Morning",IF(S467&lt;17,"Afternoon","Evening"))</f>
        <v>Morning</v>
      </c>
      <c r="U467" s="16" t="n">
        <f aca="false">G467*H467*0.05</f>
        <v>14.733</v>
      </c>
    </row>
    <row r="468" customFormat="false" ht="15" hidden="false" customHeight="false" outlineLevel="0" collapsed="false">
      <c r="A468" s="0" t="s">
        <v>841</v>
      </c>
      <c r="B468" s="0" t="s">
        <v>33</v>
      </c>
      <c r="C468" s="0" t="s">
        <v>65</v>
      </c>
      <c r="D468" s="0" t="s">
        <v>21</v>
      </c>
      <c r="E468" s="0" t="s">
        <v>60</v>
      </c>
      <c r="F468" s="0" t="s">
        <v>37</v>
      </c>
      <c r="G468" s="16" t="n">
        <v>94.34</v>
      </c>
      <c r="H468" s="0" t="n">
        <v>7</v>
      </c>
      <c r="I468" s="16" t="n">
        <f aca="false">G468*H468*0.05</f>
        <v>33.019</v>
      </c>
      <c r="J468" s="16" t="n">
        <f aca="false">G468*H468*1.05</f>
        <v>693.399</v>
      </c>
      <c r="K468" s="17" t="n">
        <v>43506</v>
      </c>
      <c r="L468" s="14" t="s">
        <v>842</v>
      </c>
      <c r="M468" s="14" t="s">
        <v>26</v>
      </c>
      <c r="N468" s="16" t="n">
        <f aca="false">G468*H468</f>
        <v>660.38</v>
      </c>
      <c r="O468" s="18" t="n">
        <v>4.761904762</v>
      </c>
      <c r="P468" s="16" t="n">
        <f aca="false">I468</f>
        <v>33.019</v>
      </c>
      <c r="Q468" s="19" t="n">
        <v>9.1</v>
      </c>
      <c r="R468" s="0" t="str">
        <f aca="false">TEXT(K468,"mmm yyyy")</f>
        <v>Feb 2019</v>
      </c>
      <c r="S468" s="14" t="n">
        <f aca="false">HOUR(TIMEVALUE(L468))</f>
        <v>17</v>
      </c>
      <c r="T468" s="0" t="str">
        <f aca="false">IF(S468&lt;12,"Morning",IF(S468&lt;17,"Afternoon","Evening"))</f>
        <v>Evening</v>
      </c>
      <c r="U468" s="16" t="n">
        <f aca="false">G468*H468*0.05</f>
        <v>33.019</v>
      </c>
    </row>
    <row r="469" customFormat="false" ht="15" hidden="false" customHeight="false" outlineLevel="0" collapsed="false">
      <c r="A469" s="0" t="s">
        <v>843</v>
      </c>
      <c r="B469" s="0" t="s">
        <v>29</v>
      </c>
      <c r="C469" s="0" t="s">
        <v>56</v>
      </c>
      <c r="D469" s="0" t="s">
        <v>21</v>
      </c>
      <c r="E469" s="0" t="s">
        <v>57</v>
      </c>
      <c r="F469" s="0" t="s">
        <v>37</v>
      </c>
      <c r="G469" s="16" t="n">
        <v>17.7</v>
      </c>
      <c r="H469" s="0" t="n">
        <v>7</v>
      </c>
      <c r="I469" s="16" t="n">
        <f aca="false">G469*H469*0.05</f>
        <v>6.195</v>
      </c>
      <c r="J469" s="16" t="n">
        <f aca="false">G469*H469*1.05</f>
        <v>130.095</v>
      </c>
      <c r="K469" s="17" t="n">
        <v>43506</v>
      </c>
      <c r="L469" s="14" t="s">
        <v>844</v>
      </c>
      <c r="M469" s="14" t="s">
        <v>34</v>
      </c>
      <c r="N469" s="16" t="n">
        <f aca="false">G469*H469</f>
        <v>123.9</v>
      </c>
      <c r="O469" s="18" t="n">
        <v>4.761904762</v>
      </c>
      <c r="P469" s="16" t="n">
        <f aca="false">I469</f>
        <v>6.195</v>
      </c>
      <c r="Q469" s="19" t="n">
        <v>4.7</v>
      </c>
      <c r="R469" s="0" t="str">
        <f aca="false">TEXT(K469,"mmm yyyy")</f>
        <v>Feb 2019</v>
      </c>
      <c r="S469" s="14" t="n">
        <f aca="false">HOUR(TIMEVALUE(L469))</f>
        <v>13</v>
      </c>
      <c r="T469" s="0" t="str">
        <f aca="false">IF(S469&lt;12,"Morning",IF(S469&lt;17,"Afternoon","Evening"))</f>
        <v>Afternoon</v>
      </c>
      <c r="U469" s="16" t="n">
        <f aca="false">G469*H469*0.05</f>
        <v>6.195</v>
      </c>
    </row>
    <row r="470" customFormat="false" ht="15" hidden="false" customHeight="false" outlineLevel="0" collapsed="false">
      <c r="A470" s="0" t="s">
        <v>845</v>
      </c>
      <c r="B470" s="0" t="s">
        <v>29</v>
      </c>
      <c r="C470" s="0" t="s">
        <v>56</v>
      </c>
      <c r="D470" s="0" t="s">
        <v>21</v>
      </c>
      <c r="E470" s="0" t="s">
        <v>60</v>
      </c>
      <c r="F470" s="0" t="s">
        <v>23</v>
      </c>
      <c r="G470" s="16" t="n">
        <v>51.63</v>
      </c>
      <c r="H470" s="0" t="n">
        <v>1</v>
      </c>
      <c r="I470" s="16" t="n">
        <f aca="false">G470*H470*0.05</f>
        <v>2.5815</v>
      </c>
      <c r="J470" s="16" t="n">
        <f aca="false">G470*H470*1.05</f>
        <v>54.2115</v>
      </c>
      <c r="K470" s="17" t="n">
        <v>43506</v>
      </c>
      <c r="L470" s="14" t="s">
        <v>590</v>
      </c>
      <c r="M470" s="14" t="s">
        <v>30</v>
      </c>
      <c r="N470" s="16" t="n">
        <f aca="false">G470*H470</f>
        <v>51.63</v>
      </c>
      <c r="O470" s="18" t="n">
        <v>4.761904762</v>
      </c>
      <c r="P470" s="16" t="n">
        <f aca="false">I470</f>
        <v>2.5815</v>
      </c>
      <c r="Q470" s="19" t="n">
        <v>8.6</v>
      </c>
      <c r="R470" s="0" t="str">
        <f aca="false">TEXT(K470,"mmm yyyy")</f>
        <v>Feb 2019</v>
      </c>
      <c r="S470" s="14" t="n">
        <f aca="false">HOUR(TIMEVALUE(L470))</f>
        <v>12</v>
      </c>
      <c r="T470" s="0" t="str">
        <f aca="false">IF(S470&lt;12,"Morning",IF(S470&lt;17,"Afternoon","Evening"))</f>
        <v>Afternoon</v>
      </c>
      <c r="U470" s="16" t="n">
        <f aca="false">G470*H470*0.05</f>
        <v>2.5815</v>
      </c>
    </row>
    <row r="471" customFormat="false" ht="15" hidden="false" customHeight="false" outlineLevel="0" collapsed="false">
      <c r="A471" s="0" t="s">
        <v>846</v>
      </c>
      <c r="B471" s="0" t="s">
        <v>33</v>
      </c>
      <c r="C471" s="0" t="s">
        <v>65</v>
      </c>
      <c r="D471" s="0" t="s">
        <v>21</v>
      </c>
      <c r="E471" s="0" t="s">
        <v>57</v>
      </c>
      <c r="F471" s="0" t="s">
        <v>23</v>
      </c>
      <c r="G471" s="16" t="n">
        <v>84.62</v>
      </c>
      <c r="H471" s="0" t="n">
        <v>6</v>
      </c>
      <c r="I471" s="16" t="n">
        <f aca="false">G471*H471*0.05</f>
        <v>25.386</v>
      </c>
      <c r="J471" s="16" t="n">
        <f aca="false">G471*H471*1.05</f>
        <v>533.106</v>
      </c>
      <c r="K471" s="17" t="n">
        <v>43506</v>
      </c>
      <c r="L471" s="14" t="s">
        <v>847</v>
      </c>
      <c r="M471" s="14" t="s">
        <v>30</v>
      </c>
      <c r="N471" s="16" t="n">
        <f aca="false">G471*H471</f>
        <v>507.72</v>
      </c>
      <c r="O471" s="18" t="n">
        <v>4.761904762</v>
      </c>
      <c r="P471" s="16" t="n">
        <f aca="false">I471</f>
        <v>25.386</v>
      </c>
      <c r="Q471" s="19" t="n">
        <v>4.9</v>
      </c>
      <c r="R471" s="0" t="str">
        <f aca="false">TEXT(K471,"mmm yyyy")</f>
        <v>Feb 2019</v>
      </c>
      <c r="S471" s="14" t="n">
        <f aca="false">HOUR(TIMEVALUE(L471))</f>
        <v>17</v>
      </c>
      <c r="T471" s="0" t="str">
        <f aca="false">IF(S471&lt;12,"Morning",IF(S471&lt;17,"Afternoon","Evening"))</f>
        <v>Evening</v>
      </c>
      <c r="U471" s="16" t="n">
        <f aca="false">G471*H471*0.05</f>
        <v>25.386</v>
      </c>
    </row>
    <row r="472" customFormat="false" ht="15" hidden="false" customHeight="false" outlineLevel="0" collapsed="false">
      <c r="A472" s="0" t="s">
        <v>848</v>
      </c>
      <c r="B472" s="0" t="s">
        <v>25</v>
      </c>
      <c r="C472" s="0" t="s">
        <v>68</v>
      </c>
      <c r="D472" s="0" t="s">
        <v>21</v>
      </c>
      <c r="E472" s="0" t="s">
        <v>57</v>
      </c>
      <c r="F472" s="0" t="s">
        <v>23</v>
      </c>
      <c r="G472" s="16" t="n">
        <v>68.18</v>
      </c>
      <c r="H472" s="0" t="n">
        <v>2</v>
      </c>
      <c r="I472" s="16" t="n">
        <f aca="false">G472*H472*0.05</f>
        <v>6.818</v>
      </c>
      <c r="J472" s="16" t="n">
        <f aca="false">G472*H472*1.05</f>
        <v>143.178</v>
      </c>
      <c r="K472" s="17" t="n">
        <v>43507</v>
      </c>
      <c r="L472" s="14" t="s">
        <v>849</v>
      </c>
      <c r="M472" s="14" t="s">
        <v>30</v>
      </c>
      <c r="N472" s="16" t="n">
        <f aca="false">G472*H472</f>
        <v>136.36</v>
      </c>
      <c r="O472" s="18" t="n">
        <v>4.761904762</v>
      </c>
      <c r="P472" s="16" t="n">
        <f aca="false">I472</f>
        <v>6.818</v>
      </c>
      <c r="Q472" s="19" t="n">
        <v>5.3</v>
      </c>
      <c r="R472" s="0" t="str">
        <f aca="false">TEXT(K472,"mmm yyyy")</f>
        <v>Feb 2019</v>
      </c>
      <c r="S472" s="14" t="n">
        <f aca="false">HOUR(TIMEVALUE(L472))</f>
        <v>15</v>
      </c>
      <c r="T472" s="0" t="str">
        <f aca="false">IF(S472&lt;12,"Morning",IF(S472&lt;17,"Afternoon","Evening"))</f>
        <v>Afternoon</v>
      </c>
      <c r="U472" s="16" t="n">
        <f aca="false">G472*H472*0.05</f>
        <v>6.818</v>
      </c>
    </row>
    <row r="473" customFormat="false" ht="15" hidden="false" customHeight="false" outlineLevel="0" collapsed="false">
      <c r="A473" s="0" t="s">
        <v>850</v>
      </c>
      <c r="B473" s="0" t="s">
        <v>25</v>
      </c>
      <c r="C473" s="0" t="s">
        <v>68</v>
      </c>
      <c r="D473" s="0" t="s">
        <v>21</v>
      </c>
      <c r="E473" s="0" t="s">
        <v>57</v>
      </c>
      <c r="F473" s="0" t="s">
        <v>36</v>
      </c>
      <c r="G473" s="16" t="n">
        <v>24.49</v>
      </c>
      <c r="H473" s="0" t="n">
        <v>2</v>
      </c>
      <c r="I473" s="16" t="n">
        <f aca="false">G473*H473*0.05</f>
        <v>2.449</v>
      </c>
      <c r="J473" s="16" t="n">
        <f aca="false">G473*H473*1.05</f>
        <v>51.429</v>
      </c>
      <c r="K473" s="17" t="n">
        <v>43507</v>
      </c>
      <c r="L473" s="14" t="s">
        <v>851</v>
      </c>
      <c r="M473" s="14" t="s">
        <v>26</v>
      </c>
      <c r="N473" s="16" t="n">
        <f aca="false">G473*H473</f>
        <v>48.98</v>
      </c>
      <c r="O473" s="18" t="n">
        <v>4.761904762</v>
      </c>
      <c r="P473" s="16" t="n">
        <f aca="false">I473</f>
        <v>2.449</v>
      </c>
      <c r="Q473" s="19" t="n">
        <v>8</v>
      </c>
      <c r="R473" s="0" t="str">
        <f aca="false">TEXT(K473,"mmm yyyy")</f>
        <v>Feb 2019</v>
      </c>
      <c r="S473" s="14" t="n">
        <f aca="false">HOUR(TIMEVALUE(L473))</f>
        <v>18</v>
      </c>
      <c r="T473" s="0" t="str">
        <f aca="false">IF(S473&lt;12,"Morning",IF(S473&lt;17,"Afternoon","Evening"))</f>
        <v>Evening</v>
      </c>
      <c r="U473" s="16" t="n">
        <f aca="false">G473*H473*0.05</f>
        <v>2.449</v>
      </c>
    </row>
    <row r="474" customFormat="false" ht="15" hidden="false" customHeight="false" outlineLevel="0" collapsed="false">
      <c r="A474" s="0" t="s">
        <v>852</v>
      </c>
      <c r="B474" s="0" t="s">
        <v>29</v>
      </c>
      <c r="C474" s="0" t="s">
        <v>56</v>
      </c>
      <c r="D474" s="0" t="s">
        <v>21</v>
      </c>
      <c r="E474" s="0" t="s">
        <v>57</v>
      </c>
      <c r="F474" s="0" t="s">
        <v>36</v>
      </c>
      <c r="G474" s="16" t="n">
        <v>99.95</v>
      </c>
      <c r="H474" s="0" t="n">
        <v>8</v>
      </c>
      <c r="I474" s="16" t="n">
        <f aca="false">G474*H474*0.05</f>
        <v>39.98</v>
      </c>
      <c r="J474" s="16" t="n">
        <f aca="false">G474*H474*1.05</f>
        <v>839.58</v>
      </c>
      <c r="K474" s="17" t="n">
        <v>43507</v>
      </c>
      <c r="L474" s="14" t="s">
        <v>853</v>
      </c>
      <c r="M474" s="14" t="s">
        <v>34</v>
      </c>
      <c r="N474" s="16" t="n">
        <f aca="false">G474*H474</f>
        <v>799.6</v>
      </c>
      <c r="O474" s="18" t="n">
        <v>4.761904762</v>
      </c>
      <c r="P474" s="16" t="n">
        <f aca="false">I474</f>
        <v>39.98</v>
      </c>
      <c r="Q474" s="19" t="n">
        <v>6</v>
      </c>
      <c r="R474" s="0" t="str">
        <f aca="false">TEXT(K474,"mmm yyyy")</f>
        <v>Feb 2019</v>
      </c>
      <c r="S474" s="14" t="n">
        <f aca="false">HOUR(TIMEVALUE(L474))</f>
        <v>20</v>
      </c>
      <c r="T474" s="0" t="str">
        <f aca="false">IF(S474&lt;12,"Morning",IF(S474&lt;17,"Afternoon","Evening"))</f>
        <v>Evening</v>
      </c>
      <c r="U474" s="16" t="n">
        <f aca="false">G474*H474*0.05</f>
        <v>39.98</v>
      </c>
    </row>
    <row r="475" customFormat="false" ht="15" hidden="false" customHeight="false" outlineLevel="0" collapsed="false">
      <c r="A475" s="0" t="s">
        <v>854</v>
      </c>
      <c r="B475" s="0" t="s">
        <v>25</v>
      </c>
      <c r="C475" s="0" t="s">
        <v>68</v>
      </c>
      <c r="D475" s="0" t="s">
        <v>22</v>
      </c>
      <c r="E475" s="0" t="s">
        <v>60</v>
      </c>
      <c r="F475" s="0" t="s">
        <v>36</v>
      </c>
      <c r="G475" s="16" t="n">
        <v>94.83</v>
      </c>
      <c r="H475" s="0" t="n">
        <v>3</v>
      </c>
      <c r="I475" s="16" t="n">
        <f aca="false">G475*H475*0.05</f>
        <v>14.2245</v>
      </c>
      <c r="J475" s="16" t="n">
        <f aca="false">G475*H475*1.05</f>
        <v>298.7145</v>
      </c>
      <c r="K475" s="17" t="n">
        <v>43507</v>
      </c>
      <c r="L475" s="14" t="s">
        <v>855</v>
      </c>
      <c r="M475" s="14" t="s">
        <v>26</v>
      </c>
      <c r="N475" s="16" t="n">
        <f aca="false">G475*H475</f>
        <v>284.49</v>
      </c>
      <c r="O475" s="18" t="n">
        <v>4.761904762</v>
      </c>
      <c r="P475" s="16" t="n">
        <f aca="false">I475</f>
        <v>14.2245</v>
      </c>
      <c r="Q475" s="19" t="n">
        <v>7.8</v>
      </c>
      <c r="R475" s="0" t="str">
        <f aca="false">TEXT(K475,"mmm yyyy")</f>
        <v>Feb 2019</v>
      </c>
      <c r="S475" s="14" t="n">
        <f aca="false">HOUR(TIMEVALUE(L475))</f>
        <v>16</v>
      </c>
      <c r="T475" s="0" t="str">
        <f aca="false">IF(S475&lt;12,"Morning",IF(S475&lt;17,"Afternoon","Evening"))</f>
        <v>Afternoon</v>
      </c>
      <c r="U475" s="16" t="n">
        <f aca="false">G475*H475*0.05</f>
        <v>14.2245</v>
      </c>
    </row>
    <row r="476" customFormat="false" ht="15" hidden="false" customHeight="false" outlineLevel="0" collapsed="false">
      <c r="A476" s="0" t="s">
        <v>856</v>
      </c>
      <c r="B476" s="0" t="s">
        <v>25</v>
      </c>
      <c r="C476" s="0" t="s">
        <v>68</v>
      </c>
      <c r="D476" s="0" t="s">
        <v>22</v>
      </c>
      <c r="E476" s="0" t="s">
        <v>60</v>
      </c>
      <c r="F476" s="0" t="s">
        <v>36</v>
      </c>
      <c r="G476" s="16" t="n">
        <v>65.31</v>
      </c>
      <c r="H476" s="0" t="n">
        <v>7</v>
      </c>
      <c r="I476" s="16" t="n">
        <f aca="false">G476*H476*0.05</f>
        <v>22.8585</v>
      </c>
      <c r="J476" s="16" t="n">
        <f aca="false">G476*H476*1.05</f>
        <v>480.0285</v>
      </c>
      <c r="K476" s="17" t="n">
        <v>43507</v>
      </c>
      <c r="L476" s="14" t="s">
        <v>857</v>
      </c>
      <c r="M476" s="14" t="s">
        <v>34</v>
      </c>
      <c r="N476" s="16" t="n">
        <f aca="false">G476*H476</f>
        <v>457.17</v>
      </c>
      <c r="O476" s="18" t="n">
        <v>4.761904762</v>
      </c>
      <c r="P476" s="16" t="n">
        <f aca="false">I476</f>
        <v>22.8585</v>
      </c>
      <c r="Q476" s="19" t="n">
        <v>5</v>
      </c>
      <c r="R476" s="0" t="str">
        <f aca="false">TEXT(K476,"mmm yyyy")</f>
        <v>Feb 2019</v>
      </c>
      <c r="S476" s="14" t="n">
        <f aca="false">HOUR(TIMEVALUE(L476))</f>
        <v>12</v>
      </c>
      <c r="T476" s="0" t="str">
        <f aca="false">IF(S476&lt;12,"Morning",IF(S476&lt;17,"Afternoon","Evening"))</f>
        <v>Afternoon</v>
      </c>
      <c r="U476" s="16" t="n">
        <f aca="false">G476*H476*0.05</f>
        <v>22.8585</v>
      </c>
    </row>
    <row r="477" customFormat="false" ht="15" hidden="false" customHeight="false" outlineLevel="0" collapsed="false">
      <c r="A477" s="0" t="s">
        <v>858</v>
      </c>
      <c r="B477" s="0" t="s">
        <v>25</v>
      </c>
      <c r="C477" s="0" t="s">
        <v>68</v>
      </c>
      <c r="D477" s="0" t="s">
        <v>21</v>
      </c>
      <c r="E477" s="0" t="s">
        <v>60</v>
      </c>
      <c r="F477" s="0" t="s">
        <v>31</v>
      </c>
      <c r="G477" s="16" t="n">
        <v>13.16</v>
      </c>
      <c r="H477" s="0" t="n">
        <v>1</v>
      </c>
      <c r="I477" s="16" t="n">
        <f aca="false">G477*H477*0.05</f>
        <v>0.658</v>
      </c>
      <c r="J477" s="16" t="n">
        <f aca="false">G477*H477*1.05</f>
        <v>13.818</v>
      </c>
      <c r="K477" s="17" t="n">
        <v>43507</v>
      </c>
      <c r="L477" s="14" t="s">
        <v>352</v>
      </c>
      <c r="M477" s="14" t="s">
        <v>30</v>
      </c>
      <c r="N477" s="16" t="n">
        <f aca="false">G477*H477</f>
        <v>13.16</v>
      </c>
      <c r="O477" s="18" t="n">
        <v>4.761904762</v>
      </c>
      <c r="P477" s="16" t="n">
        <f aca="false">I477</f>
        <v>0.658</v>
      </c>
      <c r="Q477" s="19" t="n">
        <v>7.8</v>
      </c>
      <c r="R477" s="0" t="str">
        <f aca="false">TEXT(K477,"mmm yyyy")</f>
        <v>Feb 2019</v>
      </c>
      <c r="S477" s="14" t="n">
        <f aca="false">HOUR(TIMEVALUE(L477))</f>
        <v>19</v>
      </c>
      <c r="T477" s="0" t="str">
        <f aca="false">IF(S477&lt;12,"Morning",IF(S477&lt;17,"Afternoon","Evening"))</f>
        <v>Evening</v>
      </c>
      <c r="U477" s="16" t="n">
        <f aca="false">G477*H477*0.05</f>
        <v>0.658</v>
      </c>
    </row>
    <row r="478" customFormat="false" ht="15" hidden="false" customHeight="false" outlineLevel="0" collapsed="false">
      <c r="A478" s="0" t="s">
        <v>859</v>
      </c>
      <c r="B478" s="0" t="s">
        <v>29</v>
      </c>
      <c r="C478" s="0" t="s">
        <v>56</v>
      </c>
      <c r="D478" s="0" t="s">
        <v>22</v>
      </c>
      <c r="E478" s="0" t="s">
        <v>60</v>
      </c>
      <c r="F478" s="0" t="s">
        <v>37</v>
      </c>
      <c r="G478" s="16" t="n">
        <v>22.3</v>
      </c>
      <c r="H478" s="0" t="n">
        <v>9</v>
      </c>
      <c r="I478" s="16" t="n">
        <f aca="false">G478*H478*0.05</f>
        <v>10.035</v>
      </c>
      <c r="J478" s="16" t="n">
        <f aca="false">G478*H478*1.05</f>
        <v>210.735</v>
      </c>
      <c r="K478" s="17" t="n">
        <v>43507</v>
      </c>
      <c r="L478" s="14" t="s">
        <v>419</v>
      </c>
      <c r="M478" s="14" t="s">
        <v>30</v>
      </c>
      <c r="N478" s="16" t="n">
        <f aca="false">G478*H478</f>
        <v>200.7</v>
      </c>
      <c r="O478" s="18" t="n">
        <v>4.761904762</v>
      </c>
      <c r="P478" s="16" t="n">
        <f aca="false">I478</f>
        <v>10.035</v>
      </c>
      <c r="Q478" s="19" t="n">
        <v>5.9</v>
      </c>
      <c r="R478" s="0" t="str">
        <f aca="false">TEXT(K478,"mmm yyyy")</f>
        <v>Feb 2019</v>
      </c>
      <c r="S478" s="14" t="n">
        <f aca="false">HOUR(TIMEVALUE(L478))</f>
        <v>10</v>
      </c>
      <c r="T478" s="0" t="str">
        <f aca="false">IF(S478&lt;12,"Morning",IF(S478&lt;17,"Afternoon","Evening"))</f>
        <v>Morning</v>
      </c>
      <c r="U478" s="16" t="n">
        <f aca="false">G478*H478*0.05</f>
        <v>10.035</v>
      </c>
    </row>
    <row r="479" customFormat="false" ht="15" hidden="false" customHeight="false" outlineLevel="0" collapsed="false">
      <c r="A479" s="0" t="s">
        <v>860</v>
      </c>
      <c r="B479" s="0" t="s">
        <v>33</v>
      </c>
      <c r="C479" s="0" t="s">
        <v>65</v>
      </c>
      <c r="D479" s="0" t="s">
        <v>21</v>
      </c>
      <c r="E479" s="0" t="s">
        <v>57</v>
      </c>
      <c r="F479" s="0" t="s">
        <v>31</v>
      </c>
      <c r="G479" s="16" t="n">
        <v>18.42</v>
      </c>
      <c r="H479" s="0" t="n">
        <v>1</v>
      </c>
      <c r="I479" s="16" t="n">
        <f aca="false">G479*H479*0.05</f>
        <v>0.921</v>
      </c>
      <c r="J479" s="16" t="n">
        <f aca="false">G479*H479*1.05</f>
        <v>19.341</v>
      </c>
      <c r="K479" s="17" t="n">
        <v>43507</v>
      </c>
      <c r="L479" s="14" t="s">
        <v>861</v>
      </c>
      <c r="M479" s="14" t="s">
        <v>26</v>
      </c>
      <c r="N479" s="16" t="n">
        <f aca="false">G479*H479</f>
        <v>18.42</v>
      </c>
      <c r="O479" s="18" t="n">
        <v>4.761904762</v>
      </c>
      <c r="P479" s="16" t="n">
        <f aca="false">I479</f>
        <v>0.921</v>
      </c>
      <c r="Q479" s="19" t="n">
        <v>9.2</v>
      </c>
      <c r="R479" s="0" t="str">
        <f aca="false">TEXT(K479,"mmm yyyy")</f>
        <v>Feb 2019</v>
      </c>
      <c r="S479" s="14" t="n">
        <f aca="false">HOUR(TIMEVALUE(L479))</f>
        <v>18</v>
      </c>
      <c r="T479" s="0" t="str">
        <f aca="false">IF(S479&lt;12,"Morning",IF(S479&lt;17,"Afternoon","Evening"))</f>
        <v>Evening</v>
      </c>
      <c r="U479" s="16" t="n">
        <f aca="false">G479*H479*0.05</f>
        <v>0.921</v>
      </c>
    </row>
    <row r="480" customFormat="false" ht="15" hidden="false" customHeight="false" outlineLevel="0" collapsed="false">
      <c r="A480" s="0" t="s">
        <v>862</v>
      </c>
      <c r="B480" s="0" t="s">
        <v>33</v>
      </c>
      <c r="C480" s="0" t="s">
        <v>65</v>
      </c>
      <c r="D480" s="0" t="s">
        <v>22</v>
      </c>
      <c r="E480" s="0" t="s">
        <v>60</v>
      </c>
      <c r="F480" s="0" t="s">
        <v>23</v>
      </c>
      <c r="G480" s="16" t="n">
        <v>63.12</v>
      </c>
      <c r="H480" s="0" t="n">
        <v>9</v>
      </c>
      <c r="I480" s="16" t="n">
        <f aca="false">G480*H480*0.05</f>
        <v>28.404</v>
      </c>
      <c r="J480" s="16" t="n">
        <f aca="false">G480*H480*1.05</f>
        <v>596.484</v>
      </c>
      <c r="K480" s="17" t="n">
        <v>43507</v>
      </c>
      <c r="L480" s="14" t="s">
        <v>863</v>
      </c>
      <c r="M480" s="14" t="s">
        <v>34</v>
      </c>
      <c r="N480" s="16" t="n">
        <f aca="false">G480*H480</f>
        <v>568.08</v>
      </c>
      <c r="O480" s="18" t="n">
        <v>4.761904762</v>
      </c>
      <c r="P480" s="16" t="n">
        <f aca="false">I480</f>
        <v>28.404</v>
      </c>
      <c r="Q480" s="19" t="n">
        <v>7.8</v>
      </c>
      <c r="R480" s="0" t="str">
        <f aca="false">TEXT(K480,"mmm yyyy")</f>
        <v>Feb 2019</v>
      </c>
      <c r="S480" s="14" t="n">
        <f aca="false">HOUR(TIMEVALUE(L480))</f>
        <v>20</v>
      </c>
      <c r="T480" s="0" t="str">
        <f aca="false">IF(S480&lt;12,"Morning",IF(S480&lt;17,"Afternoon","Evening"))</f>
        <v>Evening</v>
      </c>
      <c r="U480" s="16" t="n">
        <f aca="false">G480*H480*0.05</f>
        <v>28.404</v>
      </c>
    </row>
    <row r="481" customFormat="false" ht="15" hidden="false" customHeight="false" outlineLevel="0" collapsed="false">
      <c r="A481" s="0" t="s">
        <v>864</v>
      </c>
      <c r="B481" s="0" t="s">
        <v>29</v>
      </c>
      <c r="C481" s="0" t="s">
        <v>56</v>
      </c>
      <c r="D481" s="0" t="s">
        <v>22</v>
      </c>
      <c r="E481" s="0" t="s">
        <v>60</v>
      </c>
      <c r="F481" s="0" t="s">
        <v>27</v>
      </c>
      <c r="G481" s="16" t="n">
        <v>83.47</v>
      </c>
      <c r="H481" s="0" t="n">
        <v>5</v>
      </c>
      <c r="I481" s="16" t="n">
        <f aca="false">G481*H481*0.05</f>
        <v>20.8675</v>
      </c>
      <c r="J481" s="16" t="n">
        <f aca="false">G481*H481*1.05</f>
        <v>438.2175</v>
      </c>
      <c r="K481" s="17" t="n">
        <v>43507</v>
      </c>
      <c r="L481" s="14" t="s">
        <v>71</v>
      </c>
      <c r="M481" s="14" t="s">
        <v>30</v>
      </c>
      <c r="N481" s="16" t="n">
        <f aca="false">G481*H481</f>
        <v>417.35</v>
      </c>
      <c r="O481" s="18" t="n">
        <v>4.761904762</v>
      </c>
      <c r="P481" s="16" t="n">
        <f aca="false">I481</f>
        <v>20.8675</v>
      </c>
      <c r="Q481" s="19" t="n">
        <v>9</v>
      </c>
      <c r="R481" s="0" t="str">
        <f aca="false">TEXT(K481,"mmm yyyy")</f>
        <v>Feb 2019</v>
      </c>
      <c r="S481" s="14" t="n">
        <f aca="false">HOUR(TIMEVALUE(L481))</f>
        <v>11</v>
      </c>
      <c r="T481" s="0" t="str">
        <f aca="false">IF(S481&lt;12,"Morning",IF(S481&lt;17,"Afternoon","Evening"))</f>
        <v>Morning</v>
      </c>
      <c r="U481" s="16" t="n">
        <f aca="false">G481*H481*0.05</f>
        <v>20.8675</v>
      </c>
    </row>
    <row r="482" customFormat="false" ht="15" hidden="false" customHeight="false" outlineLevel="0" collapsed="false">
      <c r="A482" s="0" t="s">
        <v>865</v>
      </c>
      <c r="B482" s="0" t="s">
        <v>29</v>
      </c>
      <c r="C482" s="0" t="s">
        <v>56</v>
      </c>
      <c r="D482" s="0" t="s">
        <v>22</v>
      </c>
      <c r="E482" s="0" t="s">
        <v>60</v>
      </c>
      <c r="F482" s="0" t="s">
        <v>35</v>
      </c>
      <c r="G482" s="16" t="n">
        <v>82.12</v>
      </c>
      <c r="H482" s="0" t="n">
        <v>5</v>
      </c>
      <c r="I482" s="16" t="n">
        <f aca="false">G482*H482*0.05</f>
        <v>20.53</v>
      </c>
      <c r="J482" s="16" t="n">
        <f aca="false">G482*H482*1.05</f>
        <v>431.13</v>
      </c>
      <c r="K482" s="17" t="n">
        <v>43507</v>
      </c>
      <c r="L482" s="14" t="s">
        <v>156</v>
      </c>
      <c r="M482" s="14" t="s">
        <v>26</v>
      </c>
      <c r="N482" s="16" t="n">
        <f aca="false">G482*H482</f>
        <v>410.6</v>
      </c>
      <c r="O482" s="18" t="n">
        <v>4.761904762</v>
      </c>
      <c r="P482" s="16" t="n">
        <f aca="false">I482</f>
        <v>20.53</v>
      </c>
      <c r="Q482" s="19" t="n">
        <v>4.2</v>
      </c>
      <c r="R482" s="0" t="str">
        <f aca="false">TEXT(K482,"mmm yyyy")</f>
        <v>Feb 2019</v>
      </c>
      <c r="S482" s="14" t="n">
        <f aca="false">HOUR(TIMEVALUE(L482))</f>
        <v>11</v>
      </c>
      <c r="T482" s="0" t="str">
        <f aca="false">IF(S482&lt;12,"Morning",IF(S482&lt;17,"Afternoon","Evening"))</f>
        <v>Morning</v>
      </c>
      <c r="U482" s="16" t="n">
        <f aca="false">G482*H482*0.05</f>
        <v>20.53</v>
      </c>
    </row>
    <row r="483" customFormat="false" ht="15" hidden="false" customHeight="false" outlineLevel="0" collapsed="false">
      <c r="A483" s="0" t="s">
        <v>866</v>
      </c>
      <c r="B483" s="0" t="s">
        <v>29</v>
      </c>
      <c r="C483" s="0" t="s">
        <v>56</v>
      </c>
      <c r="D483" s="0" t="s">
        <v>22</v>
      </c>
      <c r="E483" s="0" t="s">
        <v>57</v>
      </c>
      <c r="F483" s="0" t="s">
        <v>31</v>
      </c>
      <c r="G483" s="16" t="n">
        <v>79.34</v>
      </c>
      <c r="H483" s="0" t="n">
        <v>9</v>
      </c>
      <c r="I483" s="16" t="n">
        <f aca="false">G483*H483*0.05</f>
        <v>35.703</v>
      </c>
      <c r="J483" s="16" t="n">
        <f aca="false">G483*H483*1.05</f>
        <v>749.763</v>
      </c>
      <c r="K483" s="17" t="n">
        <v>43507</v>
      </c>
      <c r="L483" s="14" t="s">
        <v>798</v>
      </c>
      <c r="M483" s="14" t="s">
        <v>30</v>
      </c>
      <c r="N483" s="16" t="n">
        <f aca="false">G483*H483</f>
        <v>714.06</v>
      </c>
      <c r="O483" s="18" t="n">
        <v>4.761904762</v>
      </c>
      <c r="P483" s="16" t="n">
        <f aca="false">I483</f>
        <v>35.703</v>
      </c>
      <c r="Q483" s="19" t="n">
        <v>9.8</v>
      </c>
      <c r="R483" s="0" t="str">
        <f aca="false">TEXT(K483,"mmm yyyy")</f>
        <v>Feb 2019</v>
      </c>
      <c r="S483" s="14" t="n">
        <f aca="false">HOUR(TIMEVALUE(L483))</f>
        <v>19</v>
      </c>
      <c r="T483" s="0" t="str">
        <f aca="false">IF(S483&lt;12,"Morning",IF(S483&lt;17,"Afternoon","Evening"))</f>
        <v>Evening</v>
      </c>
      <c r="U483" s="16" t="n">
        <f aca="false">G483*H483*0.05</f>
        <v>35.703</v>
      </c>
    </row>
    <row r="484" customFormat="false" ht="15" hidden="false" customHeight="false" outlineLevel="0" collapsed="false">
      <c r="A484" s="0" t="s">
        <v>867</v>
      </c>
      <c r="B484" s="0" t="s">
        <v>25</v>
      </c>
      <c r="C484" s="0" t="s">
        <v>68</v>
      </c>
      <c r="D484" s="0" t="s">
        <v>21</v>
      </c>
      <c r="E484" s="0" t="s">
        <v>60</v>
      </c>
      <c r="F484" s="0" t="s">
        <v>36</v>
      </c>
      <c r="G484" s="16" t="n">
        <v>38.27</v>
      </c>
      <c r="H484" s="0" t="n">
        <v>5</v>
      </c>
      <c r="I484" s="16" t="n">
        <f aca="false">G484*H484*0.05</f>
        <v>9.5675</v>
      </c>
      <c r="J484" s="16" t="n">
        <f aca="false">G484*H484*1.05</f>
        <v>200.9175</v>
      </c>
      <c r="K484" s="17" t="n">
        <v>43508</v>
      </c>
      <c r="L484" s="14" t="s">
        <v>868</v>
      </c>
      <c r="M484" s="14" t="s">
        <v>30</v>
      </c>
      <c r="N484" s="16" t="n">
        <f aca="false">G484*H484</f>
        <v>191.35</v>
      </c>
      <c r="O484" s="18" t="n">
        <v>4.761904762</v>
      </c>
      <c r="P484" s="16" t="n">
        <f aca="false">I484</f>
        <v>9.5675</v>
      </c>
      <c r="Q484" s="19" t="n">
        <v>6.1</v>
      </c>
      <c r="R484" s="0" t="str">
        <f aca="false">TEXT(K484,"mmm yyyy")</f>
        <v>Feb 2019</v>
      </c>
      <c r="S484" s="14" t="n">
        <f aca="false">HOUR(TIMEVALUE(L484))</f>
        <v>10</v>
      </c>
      <c r="T484" s="0" t="str">
        <f aca="false">IF(S484&lt;12,"Morning",IF(S484&lt;17,"Afternoon","Evening"))</f>
        <v>Morning</v>
      </c>
      <c r="U484" s="16" t="n">
        <f aca="false">G484*H484*0.05</f>
        <v>9.5675</v>
      </c>
    </row>
    <row r="485" customFormat="false" ht="15" hidden="false" customHeight="false" outlineLevel="0" collapsed="false">
      <c r="A485" s="0" t="s">
        <v>869</v>
      </c>
      <c r="B485" s="0" t="s">
        <v>25</v>
      </c>
      <c r="C485" s="0" t="s">
        <v>68</v>
      </c>
      <c r="D485" s="0" t="s">
        <v>22</v>
      </c>
      <c r="E485" s="0" t="s">
        <v>60</v>
      </c>
      <c r="F485" s="0" t="s">
        <v>31</v>
      </c>
      <c r="G485" s="16" t="n">
        <v>78.59</v>
      </c>
      <c r="H485" s="0" t="n">
        <v>5</v>
      </c>
      <c r="I485" s="16" t="n">
        <f aca="false">G485*H485*0.05</f>
        <v>19.6475</v>
      </c>
      <c r="J485" s="16" t="n">
        <f aca="false">G485*H485*1.05</f>
        <v>412.5975</v>
      </c>
      <c r="K485" s="17" t="n">
        <v>43508</v>
      </c>
      <c r="L485" s="14" t="s">
        <v>870</v>
      </c>
      <c r="M485" s="14" t="s">
        <v>34</v>
      </c>
      <c r="N485" s="16" t="n">
        <f aca="false">G485*H485</f>
        <v>392.95</v>
      </c>
      <c r="O485" s="18" t="n">
        <v>4.761904762</v>
      </c>
      <c r="P485" s="16" t="n">
        <f aca="false">I485</f>
        <v>19.6475</v>
      </c>
      <c r="Q485" s="19" t="n">
        <v>5.1</v>
      </c>
      <c r="R485" s="0" t="str">
        <f aca="false">TEXT(K485,"mmm yyyy")</f>
        <v>Feb 2019</v>
      </c>
      <c r="S485" s="14" t="n">
        <f aca="false">HOUR(TIMEVALUE(L485))</f>
        <v>10</v>
      </c>
      <c r="T485" s="0" t="str">
        <f aca="false">IF(S485&lt;12,"Morning",IF(S485&lt;17,"Afternoon","Evening"))</f>
        <v>Morning</v>
      </c>
      <c r="U485" s="16" t="n">
        <f aca="false">G485*H485*0.05</f>
        <v>19.6475</v>
      </c>
    </row>
    <row r="486" customFormat="false" ht="15" hidden="false" customHeight="false" outlineLevel="0" collapsed="false">
      <c r="A486" s="0" t="s">
        <v>871</v>
      </c>
      <c r="B486" s="0" t="s">
        <v>33</v>
      </c>
      <c r="C486" s="0" t="s">
        <v>65</v>
      </c>
      <c r="D486" s="0" t="s">
        <v>21</v>
      </c>
      <c r="E486" s="0" t="s">
        <v>57</v>
      </c>
      <c r="F486" s="0" t="s">
        <v>23</v>
      </c>
      <c r="G486" s="16" t="n">
        <v>76.64</v>
      </c>
      <c r="H486" s="0" t="n">
        <v>8</v>
      </c>
      <c r="I486" s="16" t="n">
        <f aca="false">G486*H486*0.05</f>
        <v>30.656</v>
      </c>
      <c r="J486" s="16" t="n">
        <f aca="false">G486*H486*1.05</f>
        <v>643.776</v>
      </c>
      <c r="K486" s="17" t="n">
        <v>43508</v>
      </c>
      <c r="L486" s="14" t="s">
        <v>255</v>
      </c>
      <c r="M486" s="14" t="s">
        <v>30</v>
      </c>
      <c r="N486" s="16" t="n">
        <f aca="false">G486*H486</f>
        <v>613.12</v>
      </c>
      <c r="O486" s="18" t="n">
        <v>4.761904762</v>
      </c>
      <c r="P486" s="16" t="n">
        <f aca="false">I486</f>
        <v>30.656</v>
      </c>
      <c r="Q486" s="19" t="n">
        <v>4.9</v>
      </c>
      <c r="R486" s="0" t="str">
        <f aca="false">TEXT(K486,"mmm yyyy")</f>
        <v>Feb 2019</v>
      </c>
      <c r="S486" s="14" t="n">
        <f aca="false">HOUR(TIMEVALUE(L486))</f>
        <v>15</v>
      </c>
      <c r="T486" s="0" t="str">
        <f aca="false">IF(S486&lt;12,"Morning",IF(S486&lt;17,"Afternoon","Evening"))</f>
        <v>Afternoon</v>
      </c>
      <c r="U486" s="16" t="n">
        <f aca="false">G486*H486*0.05</f>
        <v>30.656</v>
      </c>
    </row>
    <row r="487" customFormat="false" ht="15" hidden="false" customHeight="false" outlineLevel="0" collapsed="false">
      <c r="A487" s="0" t="s">
        <v>872</v>
      </c>
      <c r="B487" s="0" t="s">
        <v>33</v>
      </c>
      <c r="C487" s="0" t="s">
        <v>65</v>
      </c>
      <c r="D487" s="0" t="s">
        <v>22</v>
      </c>
      <c r="E487" s="0" t="s">
        <v>57</v>
      </c>
      <c r="F487" s="0" t="s">
        <v>35</v>
      </c>
      <c r="G487" s="16" t="n">
        <v>26.8</v>
      </c>
      <c r="H487" s="0" t="n">
        <v>3</v>
      </c>
      <c r="I487" s="16" t="n">
        <f aca="false">G487*H487*0.05</f>
        <v>4.02</v>
      </c>
      <c r="J487" s="16" t="n">
        <f aca="false">G487*H487*1.05</f>
        <v>84.42</v>
      </c>
      <c r="K487" s="17" t="n">
        <v>43508</v>
      </c>
      <c r="L487" s="14" t="s">
        <v>873</v>
      </c>
      <c r="M487" s="14" t="s">
        <v>34</v>
      </c>
      <c r="N487" s="16" t="n">
        <f aca="false">G487*H487</f>
        <v>80.4</v>
      </c>
      <c r="O487" s="18" t="n">
        <v>4.761904762</v>
      </c>
      <c r="P487" s="16" t="n">
        <f aca="false">I487</f>
        <v>4.02</v>
      </c>
      <c r="Q487" s="19" t="n">
        <v>4.7</v>
      </c>
      <c r="R487" s="0" t="str">
        <f aca="false">TEXT(K487,"mmm yyyy")</f>
        <v>Feb 2019</v>
      </c>
      <c r="S487" s="14" t="n">
        <f aca="false">HOUR(TIMEVALUE(L487))</f>
        <v>16</v>
      </c>
      <c r="T487" s="0" t="str">
        <f aca="false">IF(S487&lt;12,"Morning",IF(S487&lt;17,"Afternoon","Evening"))</f>
        <v>Afternoon</v>
      </c>
      <c r="U487" s="16" t="n">
        <f aca="false">G487*H487*0.05</f>
        <v>4.02</v>
      </c>
    </row>
    <row r="488" customFormat="false" ht="15" hidden="false" customHeight="false" outlineLevel="0" collapsed="false">
      <c r="A488" s="0" t="s">
        <v>874</v>
      </c>
      <c r="B488" s="0" t="s">
        <v>25</v>
      </c>
      <c r="C488" s="0" t="s">
        <v>68</v>
      </c>
      <c r="D488" s="0" t="s">
        <v>21</v>
      </c>
      <c r="E488" s="0" t="s">
        <v>60</v>
      </c>
      <c r="F488" s="0" t="s">
        <v>31</v>
      </c>
      <c r="G488" s="16" t="n">
        <v>14.27</v>
      </c>
      <c r="H488" s="0" t="n">
        <v>8</v>
      </c>
      <c r="I488" s="16" t="n">
        <f aca="false">G488*H488*0.05</f>
        <v>5.708</v>
      </c>
      <c r="J488" s="16" t="n">
        <f aca="false">G488*H488*1.05</f>
        <v>119.868</v>
      </c>
      <c r="K488" s="17" t="n">
        <v>43508</v>
      </c>
      <c r="L488" s="14" t="s">
        <v>412</v>
      </c>
      <c r="M488" s="14" t="s">
        <v>30</v>
      </c>
      <c r="N488" s="16" t="n">
        <f aca="false">G488*H488</f>
        <v>114.16</v>
      </c>
      <c r="O488" s="18" t="n">
        <v>4.761904762</v>
      </c>
      <c r="P488" s="16" t="n">
        <f aca="false">I488</f>
        <v>5.708</v>
      </c>
      <c r="Q488" s="19" t="n">
        <v>6.1</v>
      </c>
      <c r="R488" s="0" t="str">
        <f aca="false">TEXT(K488,"mmm yyyy")</f>
        <v>Feb 2019</v>
      </c>
      <c r="S488" s="14" t="n">
        <f aca="false">HOUR(TIMEVALUE(L488))</f>
        <v>12</v>
      </c>
      <c r="T488" s="0" t="str">
        <f aca="false">IF(S488&lt;12,"Morning",IF(S488&lt;17,"Afternoon","Evening"))</f>
        <v>Afternoon</v>
      </c>
      <c r="U488" s="16" t="n">
        <f aca="false">G488*H488*0.05</f>
        <v>5.708</v>
      </c>
    </row>
    <row r="489" customFormat="false" ht="15" hidden="false" customHeight="false" outlineLevel="0" collapsed="false">
      <c r="A489" s="0" t="s">
        <v>875</v>
      </c>
      <c r="B489" s="0" t="s">
        <v>33</v>
      </c>
      <c r="C489" s="0" t="s">
        <v>65</v>
      </c>
      <c r="D489" s="0" t="s">
        <v>22</v>
      </c>
      <c r="E489" s="0" t="s">
        <v>57</v>
      </c>
      <c r="F489" s="0" t="s">
        <v>37</v>
      </c>
      <c r="G489" s="16" t="n">
        <v>19.97</v>
      </c>
      <c r="H489" s="0" t="n">
        <v>8</v>
      </c>
      <c r="I489" s="16" t="n">
        <f aca="false">G489*H489*0.05</f>
        <v>7.988</v>
      </c>
      <c r="J489" s="16" t="n">
        <f aca="false">G489*H489*1.05</f>
        <v>167.748</v>
      </c>
      <c r="K489" s="17" t="n">
        <v>43508</v>
      </c>
      <c r="L489" s="14" t="s">
        <v>876</v>
      </c>
      <c r="M489" s="14" t="s">
        <v>30</v>
      </c>
      <c r="N489" s="16" t="n">
        <f aca="false">G489*H489</f>
        <v>159.76</v>
      </c>
      <c r="O489" s="18" t="n">
        <v>4.761904762</v>
      </c>
      <c r="P489" s="16" t="n">
        <f aca="false">I489</f>
        <v>7.988</v>
      </c>
      <c r="Q489" s="19" t="n">
        <v>4.3</v>
      </c>
      <c r="R489" s="0" t="str">
        <f aca="false">TEXT(K489,"mmm yyyy")</f>
        <v>Feb 2019</v>
      </c>
      <c r="S489" s="14" t="n">
        <f aca="false">HOUR(TIMEVALUE(L489))</f>
        <v>15</v>
      </c>
      <c r="T489" s="0" t="str">
        <f aca="false">IF(S489&lt;12,"Morning",IF(S489&lt;17,"Afternoon","Evening"))</f>
        <v>Afternoon</v>
      </c>
      <c r="U489" s="16" t="n">
        <f aca="false">G489*H489*0.05</f>
        <v>7.988</v>
      </c>
    </row>
    <row r="490" customFormat="false" ht="15" hidden="false" customHeight="false" outlineLevel="0" collapsed="false">
      <c r="A490" s="0" t="s">
        <v>877</v>
      </c>
      <c r="B490" s="0" t="s">
        <v>29</v>
      </c>
      <c r="C490" s="0" t="s">
        <v>56</v>
      </c>
      <c r="D490" s="0" t="s">
        <v>22</v>
      </c>
      <c r="E490" s="0" t="s">
        <v>60</v>
      </c>
      <c r="F490" s="0" t="s">
        <v>36</v>
      </c>
      <c r="G490" s="16" t="n">
        <v>72.27</v>
      </c>
      <c r="H490" s="0" t="n">
        <v>9</v>
      </c>
      <c r="I490" s="16" t="n">
        <f aca="false">G490*H490*0.05</f>
        <v>32.5215</v>
      </c>
      <c r="J490" s="16" t="n">
        <f aca="false">G490*H490*1.05</f>
        <v>682.9515</v>
      </c>
      <c r="K490" s="17" t="n">
        <v>43508</v>
      </c>
      <c r="L490" s="14" t="s">
        <v>878</v>
      </c>
      <c r="M490" s="14" t="s">
        <v>26</v>
      </c>
      <c r="N490" s="16" t="n">
        <f aca="false">G490*H490</f>
        <v>650.43</v>
      </c>
      <c r="O490" s="18" t="n">
        <v>4.761904762</v>
      </c>
      <c r="P490" s="16" t="n">
        <f aca="false">I490</f>
        <v>32.5215</v>
      </c>
      <c r="Q490" s="19" t="n">
        <v>7.4</v>
      </c>
      <c r="R490" s="0" t="str">
        <f aca="false">TEXT(K490,"mmm yyyy")</f>
        <v>Feb 2019</v>
      </c>
      <c r="S490" s="14" t="n">
        <f aca="false">HOUR(TIMEVALUE(L490))</f>
        <v>18</v>
      </c>
      <c r="T490" s="0" t="str">
        <f aca="false">IF(S490&lt;12,"Morning",IF(S490&lt;17,"Afternoon","Evening"))</f>
        <v>Evening</v>
      </c>
      <c r="U490" s="16" t="n">
        <f aca="false">G490*H490*0.05</f>
        <v>32.5215</v>
      </c>
    </row>
    <row r="491" customFormat="false" ht="15" hidden="false" customHeight="false" outlineLevel="0" collapsed="false">
      <c r="A491" s="0" t="s">
        <v>879</v>
      </c>
      <c r="B491" s="0" t="s">
        <v>29</v>
      </c>
      <c r="C491" s="0" t="s">
        <v>56</v>
      </c>
      <c r="D491" s="0" t="s">
        <v>21</v>
      </c>
      <c r="E491" s="0" t="s">
        <v>57</v>
      </c>
      <c r="F491" s="0" t="s">
        <v>31</v>
      </c>
      <c r="G491" s="16" t="n">
        <v>84.43</v>
      </c>
      <c r="H491" s="0" t="n">
        <v>2</v>
      </c>
      <c r="I491" s="16" t="n">
        <f aca="false">G491*H491*0.05</f>
        <v>8.443</v>
      </c>
      <c r="J491" s="16" t="n">
        <f aca="false">G491*H491*1.05</f>
        <v>177.303</v>
      </c>
      <c r="K491" s="17" t="n">
        <v>43508</v>
      </c>
      <c r="L491" s="14" t="s">
        <v>880</v>
      </c>
      <c r="M491" s="14" t="s">
        <v>26</v>
      </c>
      <c r="N491" s="16" t="n">
        <f aca="false">G491*H491</f>
        <v>168.86</v>
      </c>
      <c r="O491" s="18" t="n">
        <v>4.761904762</v>
      </c>
      <c r="P491" s="16" t="n">
        <f aca="false">I491</f>
        <v>8.443</v>
      </c>
      <c r="Q491" s="19" t="n">
        <v>7.8</v>
      </c>
      <c r="R491" s="0" t="str">
        <f aca="false">TEXT(K491,"mmm yyyy")</f>
        <v>Feb 2019</v>
      </c>
      <c r="S491" s="14" t="n">
        <f aca="false">HOUR(TIMEVALUE(L491))</f>
        <v>12</v>
      </c>
      <c r="T491" s="0" t="str">
        <f aca="false">IF(S491&lt;12,"Morning",IF(S491&lt;17,"Afternoon","Evening"))</f>
        <v>Afternoon</v>
      </c>
      <c r="U491" s="16" t="n">
        <f aca="false">G491*H491*0.05</f>
        <v>8.443</v>
      </c>
    </row>
    <row r="492" customFormat="false" ht="15" hidden="false" customHeight="false" outlineLevel="0" collapsed="false">
      <c r="A492" s="0" t="s">
        <v>881</v>
      </c>
      <c r="B492" s="0" t="s">
        <v>25</v>
      </c>
      <c r="C492" s="0" t="s">
        <v>68</v>
      </c>
      <c r="D492" s="0" t="s">
        <v>21</v>
      </c>
      <c r="E492" s="0" t="s">
        <v>60</v>
      </c>
      <c r="F492" s="0" t="s">
        <v>27</v>
      </c>
      <c r="G492" s="16" t="n">
        <v>51.11</v>
      </c>
      <c r="H492" s="0" t="n">
        <v>7</v>
      </c>
      <c r="I492" s="16" t="n">
        <f aca="false">G492*H492*0.05</f>
        <v>17.8885</v>
      </c>
      <c r="J492" s="16" t="n">
        <f aca="false">G492*H492*1.05</f>
        <v>375.6585</v>
      </c>
      <c r="K492" s="17" t="n">
        <v>43508</v>
      </c>
      <c r="L492" s="14" t="s">
        <v>882</v>
      </c>
      <c r="M492" s="14" t="s">
        <v>26</v>
      </c>
      <c r="N492" s="16" t="n">
        <f aca="false">G492*H492</f>
        <v>357.77</v>
      </c>
      <c r="O492" s="18" t="n">
        <v>4.761904762</v>
      </c>
      <c r="P492" s="16" t="n">
        <f aca="false">I492</f>
        <v>17.8885</v>
      </c>
      <c r="Q492" s="19" t="n">
        <v>9.1</v>
      </c>
      <c r="R492" s="0" t="str">
        <f aca="false">TEXT(K492,"mmm yyyy")</f>
        <v>Feb 2019</v>
      </c>
      <c r="S492" s="14" t="n">
        <f aca="false">HOUR(TIMEVALUE(L492))</f>
        <v>17</v>
      </c>
      <c r="T492" s="0" t="str">
        <f aca="false">IF(S492&lt;12,"Morning",IF(S492&lt;17,"Afternoon","Evening"))</f>
        <v>Evening</v>
      </c>
      <c r="U492" s="16" t="n">
        <f aca="false">G492*H492*0.05</f>
        <v>17.8885</v>
      </c>
    </row>
    <row r="493" customFormat="false" ht="15" hidden="false" customHeight="false" outlineLevel="0" collapsed="false">
      <c r="A493" s="0" t="s">
        <v>883</v>
      </c>
      <c r="B493" s="0" t="s">
        <v>33</v>
      </c>
      <c r="C493" s="0" t="s">
        <v>65</v>
      </c>
      <c r="D493" s="0" t="s">
        <v>22</v>
      </c>
      <c r="E493" s="0" t="s">
        <v>60</v>
      </c>
      <c r="F493" s="0" t="s">
        <v>27</v>
      </c>
      <c r="G493" s="16" t="n">
        <v>88.27</v>
      </c>
      <c r="H493" s="0" t="n">
        <v>10</v>
      </c>
      <c r="I493" s="16" t="n">
        <f aca="false">G493*H493*0.05</f>
        <v>44.135</v>
      </c>
      <c r="J493" s="16" t="n">
        <f aca="false">G493*H493*1.05</f>
        <v>926.835</v>
      </c>
      <c r="K493" s="17" t="n">
        <v>43508</v>
      </c>
      <c r="L493" s="14" t="s">
        <v>340</v>
      </c>
      <c r="M493" s="14" t="s">
        <v>30</v>
      </c>
      <c r="N493" s="16" t="n">
        <f aca="false">G493*H493</f>
        <v>882.7</v>
      </c>
      <c r="O493" s="18" t="n">
        <v>4.761904762</v>
      </c>
      <c r="P493" s="16" t="n">
        <f aca="false">I493</f>
        <v>44.135</v>
      </c>
      <c r="Q493" s="19" t="n">
        <v>7.9</v>
      </c>
      <c r="R493" s="0" t="str">
        <f aca="false">TEXT(K493,"mmm yyyy")</f>
        <v>Feb 2019</v>
      </c>
      <c r="S493" s="14" t="n">
        <f aca="false">HOUR(TIMEVALUE(L493))</f>
        <v>20</v>
      </c>
      <c r="T493" s="0" t="str">
        <f aca="false">IF(S493&lt;12,"Morning",IF(S493&lt;17,"Afternoon","Evening"))</f>
        <v>Evening</v>
      </c>
      <c r="U493" s="16" t="n">
        <f aca="false">G493*H493*0.05</f>
        <v>44.135</v>
      </c>
    </row>
    <row r="494" customFormat="false" ht="15" hidden="false" customHeight="false" outlineLevel="0" collapsed="false">
      <c r="A494" s="0" t="s">
        <v>884</v>
      </c>
      <c r="B494" s="0" t="s">
        <v>29</v>
      </c>
      <c r="C494" s="0" t="s">
        <v>56</v>
      </c>
      <c r="D494" s="0" t="s">
        <v>22</v>
      </c>
      <c r="E494" s="0" t="s">
        <v>57</v>
      </c>
      <c r="F494" s="0" t="s">
        <v>31</v>
      </c>
      <c r="G494" s="16" t="n">
        <v>65.28</v>
      </c>
      <c r="H494" s="0" t="n">
        <v>2</v>
      </c>
      <c r="I494" s="16" t="n">
        <f aca="false">G494*H494*0.05</f>
        <v>6.528</v>
      </c>
      <c r="J494" s="16" t="n">
        <f aca="false">G494*H494*1.05</f>
        <v>137.088</v>
      </c>
      <c r="K494" s="17" t="n">
        <v>43508</v>
      </c>
      <c r="L494" s="14" t="s">
        <v>505</v>
      </c>
      <c r="M494" s="14" t="s">
        <v>30</v>
      </c>
      <c r="N494" s="16" t="n">
        <f aca="false">G494*H494</f>
        <v>130.56</v>
      </c>
      <c r="O494" s="18" t="n">
        <v>4.761904762</v>
      </c>
      <c r="P494" s="16" t="n">
        <f aca="false">I494</f>
        <v>6.528</v>
      </c>
      <c r="Q494" s="19" t="n">
        <v>9.9</v>
      </c>
      <c r="R494" s="0" t="str">
        <f aca="false">TEXT(K494,"mmm yyyy")</f>
        <v>Feb 2019</v>
      </c>
      <c r="S494" s="14" t="n">
        <f aca="false">HOUR(TIMEVALUE(L494))</f>
        <v>19</v>
      </c>
      <c r="T494" s="0" t="str">
        <f aca="false">IF(S494&lt;12,"Morning",IF(S494&lt;17,"Afternoon","Evening"))</f>
        <v>Evening</v>
      </c>
      <c r="U494" s="16" t="n">
        <f aca="false">G494*H494*0.05</f>
        <v>6.528</v>
      </c>
    </row>
    <row r="495" customFormat="false" ht="15" hidden="false" customHeight="false" outlineLevel="0" collapsed="false">
      <c r="A495" s="0" t="s">
        <v>885</v>
      </c>
      <c r="B495" s="0" t="s">
        <v>33</v>
      </c>
      <c r="C495" s="0" t="s">
        <v>65</v>
      </c>
      <c r="D495" s="0" t="s">
        <v>22</v>
      </c>
      <c r="E495" s="0" t="s">
        <v>57</v>
      </c>
      <c r="F495" s="0" t="s">
        <v>27</v>
      </c>
      <c r="G495" s="16" t="n">
        <v>34.48</v>
      </c>
      <c r="H495" s="0" t="n">
        <v>4</v>
      </c>
      <c r="I495" s="16" t="n">
        <f aca="false">G495*H495*0.05</f>
        <v>6.896</v>
      </c>
      <c r="J495" s="16" t="n">
        <f aca="false">G495*H495*1.05</f>
        <v>144.816</v>
      </c>
      <c r="K495" s="17" t="n">
        <v>43508</v>
      </c>
      <c r="L495" s="14" t="s">
        <v>886</v>
      </c>
      <c r="M495" s="14" t="s">
        <v>30</v>
      </c>
      <c r="N495" s="16" t="n">
        <f aca="false">G495*H495</f>
        <v>137.92</v>
      </c>
      <c r="O495" s="18" t="n">
        <v>4.761904762</v>
      </c>
      <c r="P495" s="16" t="n">
        <f aca="false">I495</f>
        <v>6.896</v>
      </c>
      <c r="Q495" s="19" t="n">
        <v>6.1</v>
      </c>
      <c r="R495" s="0" t="str">
        <f aca="false">TEXT(K495,"mmm yyyy")</f>
        <v>Feb 2019</v>
      </c>
      <c r="S495" s="14" t="n">
        <f aca="false">HOUR(TIMEVALUE(L495))</f>
        <v>18</v>
      </c>
      <c r="T495" s="0" t="str">
        <f aca="false">IF(S495&lt;12,"Morning",IF(S495&lt;17,"Afternoon","Evening"))</f>
        <v>Evening</v>
      </c>
      <c r="U495" s="16" t="n">
        <f aca="false">G495*H495*0.05</f>
        <v>6.896</v>
      </c>
    </row>
    <row r="496" customFormat="false" ht="15" hidden="false" customHeight="false" outlineLevel="0" collapsed="false">
      <c r="A496" s="0" t="s">
        <v>887</v>
      </c>
      <c r="B496" s="0" t="s">
        <v>33</v>
      </c>
      <c r="C496" s="0" t="s">
        <v>65</v>
      </c>
      <c r="D496" s="0" t="s">
        <v>21</v>
      </c>
      <c r="E496" s="0" t="s">
        <v>60</v>
      </c>
      <c r="F496" s="0" t="s">
        <v>35</v>
      </c>
      <c r="G496" s="16" t="n">
        <v>45.34</v>
      </c>
      <c r="H496" s="0" t="n">
        <v>3</v>
      </c>
      <c r="I496" s="16" t="n">
        <f aca="false">G496*H496*0.05</f>
        <v>6.801</v>
      </c>
      <c r="J496" s="16" t="n">
        <f aca="false">G496*H496*1.05</f>
        <v>142.821</v>
      </c>
      <c r="K496" s="17" t="n">
        <v>43508</v>
      </c>
      <c r="L496" s="14" t="s">
        <v>888</v>
      </c>
      <c r="M496" s="14" t="s">
        <v>30</v>
      </c>
      <c r="N496" s="16" t="n">
        <f aca="false">G496*H496</f>
        <v>136.02</v>
      </c>
      <c r="O496" s="18" t="n">
        <v>4.761904762</v>
      </c>
      <c r="P496" s="16" t="n">
        <f aca="false">I496</f>
        <v>6.801</v>
      </c>
      <c r="Q496" s="19" t="n">
        <v>9.7</v>
      </c>
      <c r="R496" s="0" t="str">
        <f aca="false">TEXT(K496,"mmm yyyy")</f>
        <v>Feb 2019</v>
      </c>
      <c r="S496" s="14" t="n">
        <f aca="false">HOUR(TIMEVALUE(L496))</f>
        <v>20</v>
      </c>
      <c r="T496" s="0" t="str">
        <f aca="false">IF(S496&lt;12,"Morning",IF(S496&lt;17,"Afternoon","Evening"))</f>
        <v>Evening</v>
      </c>
      <c r="U496" s="16" t="n">
        <f aca="false">G496*H496*0.05</f>
        <v>6.801</v>
      </c>
    </row>
    <row r="497" customFormat="false" ht="15" hidden="false" customHeight="false" outlineLevel="0" collapsed="false">
      <c r="A497" s="0" t="s">
        <v>889</v>
      </c>
      <c r="B497" s="0" t="s">
        <v>29</v>
      </c>
      <c r="C497" s="0" t="s">
        <v>56</v>
      </c>
      <c r="D497" s="0" t="s">
        <v>21</v>
      </c>
      <c r="E497" s="0" t="s">
        <v>60</v>
      </c>
      <c r="F497" s="0" t="s">
        <v>35</v>
      </c>
      <c r="G497" s="16" t="n">
        <v>74.84</v>
      </c>
      <c r="H497" s="0" t="n">
        <v>7</v>
      </c>
      <c r="I497" s="16" t="n">
        <f aca="false">G497*H497*0.05</f>
        <v>26.194</v>
      </c>
      <c r="J497" s="16" t="n">
        <f aca="false">G497*H497*1.05</f>
        <v>550.074</v>
      </c>
      <c r="K497" s="17" t="n">
        <v>43508</v>
      </c>
      <c r="L497" s="14" t="s">
        <v>890</v>
      </c>
      <c r="M497" s="14" t="s">
        <v>30</v>
      </c>
      <c r="N497" s="16" t="n">
        <f aca="false">G497*H497</f>
        <v>523.88</v>
      </c>
      <c r="O497" s="18" t="n">
        <v>4.761904762</v>
      </c>
      <c r="P497" s="16" t="n">
        <f aca="false">I497</f>
        <v>26.194</v>
      </c>
      <c r="Q497" s="19" t="n">
        <v>6</v>
      </c>
      <c r="R497" s="0" t="str">
        <f aca="false">TEXT(K497,"mmm yyyy")</f>
        <v>Feb 2019</v>
      </c>
      <c r="S497" s="14" t="n">
        <f aca="false">HOUR(TIMEVALUE(L497))</f>
        <v>11</v>
      </c>
      <c r="T497" s="0" t="str">
        <f aca="false">IF(S497&lt;12,"Morning",IF(S497&lt;17,"Afternoon","Evening"))</f>
        <v>Morning</v>
      </c>
      <c r="U497" s="16" t="n">
        <f aca="false">G497*H497*0.05</f>
        <v>26.194</v>
      </c>
    </row>
    <row r="498" customFormat="false" ht="15" hidden="false" customHeight="false" outlineLevel="0" collapsed="false">
      <c r="A498" s="0" t="s">
        <v>891</v>
      </c>
      <c r="B498" s="0" t="s">
        <v>25</v>
      </c>
      <c r="C498" s="0" t="s">
        <v>68</v>
      </c>
      <c r="D498" s="0" t="s">
        <v>22</v>
      </c>
      <c r="E498" s="0" t="s">
        <v>57</v>
      </c>
      <c r="F498" s="0" t="s">
        <v>23</v>
      </c>
      <c r="G498" s="16" t="n">
        <v>19</v>
      </c>
      <c r="H498" s="0" t="n">
        <v>2</v>
      </c>
      <c r="I498" s="16" t="n">
        <f aca="false">G498*H498*0.05</f>
        <v>1.9</v>
      </c>
      <c r="J498" s="16" t="n">
        <f aca="false">G498*H498*1.05</f>
        <v>39.9</v>
      </c>
      <c r="K498" s="17" t="n">
        <v>43508</v>
      </c>
      <c r="L498" s="14" t="s">
        <v>160</v>
      </c>
      <c r="M498" s="14" t="s">
        <v>30</v>
      </c>
      <c r="N498" s="16" t="n">
        <f aca="false">G498*H498</f>
        <v>38</v>
      </c>
      <c r="O498" s="18" t="n">
        <v>4.761904762</v>
      </c>
      <c r="P498" s="16" t="n">
        <f aca="false">I498</f>
        <v>1.9</v>
      </c>
      <c r="Q498" s="19" t="n">
        <v>5.4</v>
      </c>
      <c r="R498" s="0" t="str">
        <f aca="false">TEXT(K498,"mmm yyyy")</f>
        <v>Feb 2019</v>
      </c>
      <c r="S498" s="14" t="n">
        <f aca="false">HOUR(TIMEVALUE(L498))</f>
        <v>10</v>
      </c>
      <c r="T498" s="0" t="str">
        <f aca="false">IF(S498&lt;12,"Morning",IF(S498&lt;17,"Afternoon","Evening"))</f>
        <v>Morning</v>
      </c>
      <c r="U498" s="16" t="n">
        <f aca="false">G498*H498*0.05</f>
        <v>1.9</v>
      </c>
    </row>
    <row r="499" customFormat="false" ht="15" hidden="false" customHeight="false" outlineLevel="0" collapsed="false">
      <c r="A499" s="0" t="s">
        <v>892</v>
      </c>
      <c r="B499" s="0" t="s">
        <v>29</v>
      </c>
      <c r="C499" s="0" t="s">
        <v>56</v>
      </c>
      <c r="D499" s="0" t="s">
        <v>22</v>
      </c>
      <c r="E499" s="0" t="s">
        <v>57</v>
      </c>
      <c r="F499" s="0" t="s">
        <v>37</v>
      </c>
      <c r="G499" s="16" t="n">
        <v>17.96</v>
      </c>
      <c r="H499" s="0" t="n">
        <v>1</v>
      </c>
      <c r="I499" s="16" t="n">
        <f aca="false">G499*H499*0.05</f>
        <v>0.898</v>
      </c>
      <c r="J499" s="16" t="n">
        <f aca="false">G499*H499*1.05</f>
        <v>18.858</v>
      </c>
      <c r="K499" s="17" t="n">
        <v>43508</v>
      </c>
      <c r="L499" s="14" t="s">
        <v>893</v>
      </c>
      <c r="M499" s="14" t="s">
        <v>34</v>
      </c>
      <c r="N499" s="16" t="n">
        <f aca="false">G499*H499</f>
        <v>17.96</v>
      </c>
      <c r="O499" s="18" t="n">
        <v>4.761904762</v>
      </c>
      <c r="P499" s="16" t="n">
        <f aca="false">I499</f>
        <v>0.898</v>
      </c>
      <c r="Q499" s="19" t="n">
        <v>8.6</v>
      </c>
      <c r="R499" s="0" t="str">
        <f aca="false">TEXT(K499,"mmm yyyy")</f>
        <v>Feb 2019</v>
      </c>
      <c r="S499" s="14" t="n">
        <f aca="false">HOUR(TIMEVALUE(L499))</f>
        <v>16</v>
      </c>
      <c r="T499" s="0" t="str">
        <f aca="false">IF(S499&lt;12,"Morning",IF(S499&lt;17,"Afternoon","Evening"))</f>
        <v>Afternoon</v>
      </c>
      <c r="U499" s="16" t="n">
        <f aca="false">G499*H499*0.05</f>
        <v>0.898</v>
      </c>
    </row>
    <row r="500" customFormat="false" ht="15" hidden="false" customHeight="false" outlineLevel="0" collapsed="false">
      <c r="A500" s="0" t="s">
        <v>894</v>
      </c>
      <c r="B500" s="0" t="s">
        <v>33</v>
      </c>
      <c r="C500" s="0" t="s">
        <v>65</v>
      </c>
      <c r="D500" s="0" t="s">
        <v>22</v>
      </c>
      <c r="E500" s="0" t="s">
        <v>57</v>
      </c>
      <c r="F500" s="0" t="s">
        <v>35</v>
      </c>
      <c r="G500" s="16" t="n">
        <v>27.17</v>
      </c>
      <c r="H500" s="0" t="n">
        <v>5</v>
      </c>
      <c r="I500" s="16" t="n">
        <f aca="false">G500*H500*0.05</f>
        <v>6.7925</v>
      </c>
      <c r="J500" s="16" t="n">
        <f aca="false">G500*H500*1.05</f>
        <v>142.6425</v>
      </c>
      <c r="K500" s="17" t="n">
        <v>43508</v>
      </c>
      <c r="L500" s="14" t="s">
        <v>895</v>
      </c>
      <c r="M500" s="14" t="s">
        <v>26</v>
      </c>
      <c r="N500" s="16" t="n">
        <f aca="false">G500*H500</f>
        <v>135.85</v>
      </c>
      <c r="O500" s="18" t="n">
        <v>4.761904762</v>
      </c>
      <c r="P500" s="16" t="n">
        <f aca="false">I500</f>
        <v>6.7925</v>
      </c>
      <c r="Q500" s="19" t="n">
        <v>7.9</v>
      </c>
      <c r="R500" s="0" t="str">
        <f aca="false">TEXT(K500,"mmm yyyy")</f>
        <v>Feb 2019</v>
      </c>
      <c r="S500" s="14" t="n">
        <f aca="false">HOUR(TIMEVALUE(L500))</f>
        <v>15</v>
      </c>
      <c r="T500" s="0" t="str">
        <f aca="false">IF(S500&lt;12,"Morning",IF(S500&lt;17,"Afternoon","Evening"))</f>
        <v>Afternoon</v>
      </c>
      <c r="U500" s="16" t="n">
        <f aca="false">G500*H500*0.05</f>
        <v>6.7925</v>
      </c>
    </row>
    <row r="501" customFormat="false" ht="15" hidden="false" customHeight="false" outlineLevel="0" collapsed="false">
      <c r="A501" s="0" t="s">
        <v>896</v>
      </c>
      <c r="B501" s="0" t="s">
        <v>25</v>
      </c>
      <c r="C501" s="0" t="s">
        <v>68</v>
      </c>
      <c r="D501" s="0" t="s">
        <v>21</v>
      </c>
      <c r="E501" s="0" t="s">
        <v>57</v>
      </c>
      <c r="F501" s="0" t="s">
        <v>23</v>
      </c>
      <c r="G501" s="16" t="n">
        <v>44.56</v>
      </c>
      <c r="H501" s="0" t="n">
        <v>8</v>
      </c>
      <c r="I501" s="16" t="n">
        <f aca="false">G501*H501*0.05</f>
        <v>17.824</v>
      </c>
      <c r="J501" s="16" t="n">
        <f aca="false">G501*H501*1.05</f>
        <v>374.304</v>
      </c>
      <c r="K501" s="17" t="n">
        <v>43508</v>
      </c>
      <c r="L501" s="14" t="s">
        <v>834</v>
      </c>
      <c r="M501" s="14" t="s">
        <v>34</v>
      </c>
      <c r="N501" s="16" t="n">
        <f aca="false">G501*H501</f>
        <v>356.48</v>
      </c>
      <c r="O501" s="18" t="n">
        <v>4.761904762</v>
      </c>
      <c r="P501" s="16" t="n">
        <f aca="false">I501</f>
        <v>17.824</v>
      </c>
      <c r="Q501" s="19" t="n">
        <v>5</v>
      </c>
      <c r="R501" s="0" t="str">
        <f aca="false">TEXT(K501,"mmm yyyy")</f>
        <v>Feb 2019</v>
      </c>
      <c r="S501" s="14" t="n">
        <f aca="false">HOUR(TIMEVALUE(L501))</f>
        <v>15</v>
      </c>
      <c r="T501" s="0" t="str">
        <f aca="false">IF(S501&lt;12,"Morning",IF(S501&lt;17,"Afternoon","Evening"))</f>
        <v>Afternoon</v>
      </c>
      <c r="U501" s="16" t="n">
        <f aca="false">G501*H501*0.05</f>
        <v>17.824</v>
      </c>
    </row>
    <row r="502" customFormat="false" ht="15" hidden="false" customHeight="false" outlineLevel="0" collapsed="false">
      <c r="A502" s="0" t="s">
        <v>897</v>
      </c>
      <c r="B502" s="0" t="s">
        <v>25</v>
      </c>
      <c r="C502" s="0" t="s">
        <v>68</v>
      </c>
      <c r="D502" s="0" t="s">
        <v>21</v>
      </c>
      <c r="E502" s="0" t="s">
        <v>57</v>
      </c>
      <c r="F502" s="0" t="s">
        <v>31</v>
      </c>
      <c r="G502" s="16" t="n">
        <v>57.58</v>
      </c>
      <c r="H502" s="0" t="n">
        <v>7</v>
      </c>
      <c r="I502" s="16" t="n">
        <f aca="false">G502*H502*0.05</f>
        <v>20.153</v>
      </c>
      <c r="J502" s="16" t="n">
        <f aca="false">G502*H502*1.05</f>
        <v>423.213</v>
      </c>
      <c r="K502" s="17" t="n">
        <v>43509</v>
      </c>
      <c r="L502" s="14" t="s">
        <v>898</v>
      </c>
      <c r="M502" s="14" t="s">
        <v>26</v>
      </c>
      <c r="N502" s="16" t="n">
        <f aca="false">G502*H502</f>
        <v>403.06</v>
      </c>
      <c r="O502" s="18" t="n">
        <v>4.761904762</v>
      </c>
      <c r="P502" s="16" t="n">
        <f aca="false">I502</f>
        <v>20.153</v>
      </c>
      <c r="Q502" s="19" t="n">
        <v>5</v>
      </c>
      <c r="R502" s="0" t="str">
        <f aca="false">TEXT(K502,"mmm yyyy")</f>
        <v>Feb 2019</v>
      </c>
      <c r="S502" s="14" t="n">
        <f aca="false">HOUR(TIMEVALUE(L502))</f>
        <v>15</v>
      </c>
      <c r="T502" s="0" t="str">
        <f aca="false">IF(S502&lt;12,"Morning",IF(S502&lt;17,"Afternoon","Evening"))</f>
        <v>Afternoon</v>
      </c>
      <c r="U502" s="16" t="n">
        <f aca="false">G502*H502*0.05</f>
        <v>20.153</v>
      </c>
    </row>
    <row r="503" customFormat="false" ht="15" hidden="false" customHeight="false" outlineLevel="0" collapsed="false">
      <c r="A503" s="0" t="s">
        <v>899</v>
      </c>
      <c r="B503" s="0" t="s">
        <v>25</v>
      </c>
      <c r="C503" s="0" t="s">
        <v>68</v>
      </c>
      <c r="D503" s="0" t="s">
        <v>22</v>
      </c>
      <c r="E503" s="0" t="s">
        <v>60</v>
      </c>
      <c r="F503" s="0" t="s">
        <v>35</v>
      </c>
      <c r="G503" s="16" t="n">
        <v>22.15</v>
      </c>
      <c r="H503" s="0" t="n">
        <v>7</v>
      </c>
      <c r="I503" s="16" t="n">
        <f aca="false">G503*H503*0.05</f>
        <v>7.7525</v>
      </c>
      <c r="J503" s="16" t="n">
        <f aca="false">G503*H503*1.05</f>
        <v>162.8025</v>
      </c>
      <c r="K503" s="17" t="n">
        <v>43509</v>
      </c>
      <c r="L503" s="14" t="s">
        <v>581</v>
      </c>
      <c r="M503" s="14" t="s">
        <v>34</v>
      </c>
      <c r="N503" s="16" t="n">
        <f aca="false">G503*H503</f>
        <v>155.05</v>
      </c>
      <c r="O503" s="18" t="n">
        <v>4.761904762</v>
      </c>
      <c r="P503" s="16" t="n">
        <f aca="false">I503</f>
        <v>7.7525</v>
      </c>
      <c r="Q503" s="19" t="n">
        <v>7.9</v>
      </c>
      <c r="R503" s="0" t="str">
        <f aca="false">TEXT(K503,"mmm yyyy")</f>
        <v>Feb 2019</v>
      </c>
      <c r="S503" s="14" t="n">
        <f aca="false">HOUR(TIMEVALUE(L503))</f>
        <v>11</v>
      </c>
      <c r="T503" s="0" t="str">
        <f aca="false">IF(S503&lt;12,"Morning",IF(S503&lt;17,"Afternoon","Evening"))</f>
        <v>Morning</v>
      </c>
      <c r="U503" s="16" t="n">
        <f aca="false">G503*H503*0.05</f>
        <v>7.7525</v>
      </c>
    </row>
    <row r="504" customFormat="false" ht="15" hidden="false" customHeight="false" outlineLevel="0" collapsed="false">
      <c r="A504" s="0" t="s">
        <v>900</v>
      </c>
      <c r="B504" s="0" t="s">
        <v>29</v>
      </c>
      <c r="C504" s="0" t="s">
        <v>56</v>
      </c>
      <c r="D504" s="0" t="s">
        <v>21</v>
      </c>
      <c r="E504" s="0" t="s">
        <v>57</v>
      </c>
      <c r="F504" s="0" t="s">
        <v>36</v>
      </c>
      <c r="G504" s="16" t="n">
        <v>42.07</v>
      </c>
      <c r="H504" s="0" t="n">
        <v>9</v>
      </c>
      <c r="I504" s="16" t="n">
        <f aca="false">G504*H504*0.05</f>
        <v>18.9315</v>
      </c>
      <c r="J504" s="16" t="n">
        <f aca="false">G504*H504*1.05</f>
        <v>397.5615</v>
      </c>
      <c r="K504" s="17" t="n">
        <v>43509</v>
      </c>
      <c r="L504" s="14" t="s">
        <v>855</v>
      </c>
      <c r="M504" s="14" t="s">
        <v>26</v>
      </c>
      <c r="N504" s="16" t="n">
        <f aca="false">G504*H504</f>
        <v>378.63</v>
      </c>
      <c r="O504" s="18" t="n">
        <v>4.761904762</v>
      </c>
      <c r="P504" s="16" t="n">
        <f aca="false">I504</f>
        <v>18.9315</v>
      </c>
      <c r="Q504" s="19" t="n">
        <v>6</v>
      </c>
      <c r="R504" s="0" t="str">
        <f aca="false">TEXT(K504,"mmm yyyy")</f>
        <v>Feb 2019</v>
      </c>
      <c r="S504" s="14" t="n">
        <f aca="false">HOUR(TIMEVALUE(L504))</f>
        <v>16</v>
      </c>
      <c r="T504" s="0" t="str">
        <f aca="false">IF(S504&lt;12,"Morning",IF(S504&lt;17,"Afternoon","Evening"))</f>
        <v>Afternoon</v>
      </c>
      <c r="U504" s="16" t="n">
        <f aca="false">G504*H504*0.05</f>
        <v>18.9315</v>
      </c>
    </row>
    <row r="505" customFormat="false" ht="15" hidden="false" customHeight="false" outlineLevel="0" collapsed="false">
      <c r="A505" s="0" t="s">
        <v>901</v>
      </c>
      <c r="B505" s="0" t="s">
        <v>29</v>
      </c>
      <c r="C505" s="0" t="s">
        <v>56</v>
      </c>
      <c r="D505" s="0" t="s">
        <v>22</v>
      </c>
      <c r="E505" s="0" t="s">
        <v>60</v>
      </c>
      <c r="F505" s="0" t="s">
        <v>35</v>
      </c>
      <c r="G505" s="16" t="n">
        <v>24.94</v>
      </c>
      <c r="H505" s="0" t="n">
        <v>3</v>
      </c>
      <c r="I505" s="16" t="n">
        <f aca="false">G505*H505*0.05</f>
        <v>3.741</v>
      </c>
      <c r="J505" s="16" t="n">
        <f aca="false">G505*H505*1.05</f>
        <v>78.561</v>
      </c>
      <c r="K505" s="17" t="n">
        <v>43509</v>
      </c>
      <c r="L505" s="14" t="s">
        <v>902</v>
      </c>
      <c r="M505" s="14" t="s">
        <v>34</v>
      </c>
      <c r="N505" s="16" t="n">
        <f aca="false">G505*H505</f>
        <v>74.82</v>
      </c>
      <c r="O505" s="18" t="n">
        <v>4.761904762</v>
      </c>
      <c r="P505" s="16" t="n">
        <f aca="false">I505</f>
        <v>3.741</v>
      </c>
      <c r="Q505" s="19" t="n">
        <v>5.4</v>
      </c>
      <c r="R505" s="0" t="str">
        <f aca="false">TEXT(K505,"mmm yyyy")</f>
        <v>Feb 2019</v>
      </c>
      <c r="S505" s="14" t="n">
        <f aca="false">HOUR(TIMEVALUE(L505))</f>
        <v>20</v>
      </c>
      <c r="T505" s="0" t="str">
        <f aca="false">IF(S505&lt;12,"Morning",IF(S505&lt;17,"Afternoon","Evening"))</f>
        <v>Evening</v>
      </c>
      <c r="U505" s="16" t="n">
        <f aca="false">G505*H505*0.05</f>
        <v>3.741</v>
      </c>
    </row>
    <row r="506" customFormat="false" ht="15" hidden="false" customHeight="false" outlineLevel="0" collapsed="false">
      <c r="A506" s="0" t="s">
        <v>903</v>
      </c>
      <c r="B506" s="0" t="s">
        <v>29</v>
      </c>
      <c r="C506" s="0" t="s">
        <v>56</v>
      </c>
      <c r="D506" s="0" t="s">
        <v>22</v>
      </c>
      <c r="E506" s="0" t="s">
        <v>57</v>
      </c>
      <c r="F506" s="0" t="s">
        <v>27</v>
      </c>
      <c r="G506" s="16" t="n">
        <v>60.89</v>
      </c>
      <c r="H506" s="0" t="n">
        <v>8</v>
      </c>
      <c r="I506" s="16" t="n">
        <f aca="false">G506*H506*0.05</f>
        <v>24.356</v>
      </c>
      <c r="J506" s="16" t="n">
        <f aca="false">G506*H506*1.05</f>
        <v>511.476</v>
      </c>
      <c r="K506" s="17" t="n">
        <v>43509</v>
      </c>
      <c r="L506" s="14" t="s">
        <v>849</v>
      </c>
      <c r="M506" s="14" t="s">
        <v>26</v>
      </c>
      <c r="N506" s="16" t="n">
        <f aca="false">G506*H506</f>
        <v>487.12</v>
      </c>
      <c r="O506" s="18" t="n">
        <v>4.761904762</v>
      </c>
      <c r="P506" s="16" t="n">
        <f aca="false">I506</f>
        <v>24.356</v>
      </c>
      <c r="Q506" s="19" t="n">
        <v>4.3</v>
      </c>
      <c r="R506" s="0" t="str">
        <f aca="false">TEXT(K506,"mmm yyyy")</f>
        <v>Feb 2019</v>
      </c>
      <c r="S506" s="14" t="n">
        <f aca="false">HOUR(TIMEVALUE(L506))</f>
        <v>15</v>
      </c>
      <c r="T506" s="0" t="str">
        <f aca="false">IF(S506&lt;12,"Morning",IF(S506&lt;17,"Afternoon","Evening"))</f>
        <v>Afternoon</v>
      </c>
      <c r="U506" s="16" t="n">
        <f aca="false">G506*H506*0.05</f>
        <v>24.356</v>
      </c>
    </row>
    <row r="507" customFormat="false" ht="15" hidden="false" customHeight="false" outlineLevel="0" collapsed="false">
      <c r="A507" s="0" t="s">
        <v>904</v>
      </c>
      <c r="B507" s="0" t="s">
        <v>29</v>
      </c>
      <c r="C507" s="0" t="s">
        <v>56</v>
      </c>
      <c r="D507" s="0" t="s">
        <v>21</v>
      </c>
      <c r="E507" s="0" t="s">
        <v>57</v>
      </c>
      <c r="F507" s="0" t="s">
        <v>35</v>
      </c>
      <c r="G507" s="16" t="n">
        <v>20.25</v>
      </c>
      <c r="H507" s="0" t="n">
        <v>3</v>
      </c>
      <c r="I507" s="16" t="n">
        <f aca="false">G507*H507*0.05</f>
        <v>3.0375</v>
      </c>
      <c r="J507" s="16" t="n">
        <f aca="false">G507*H507*1.05</f>
        <v>63.7875</v>
      </c>
      <c r="K507" s="17" t="n">
        <v>43509</v>
      </c>
      <c r="L507" s="14" t="s">
        <v>905</v>
      </c>
      <c r="M507" s="14" t="s">
        <v>26</v>
      </c>
      <c r="N507" s="16" t="n">
        <f aca="false">G507*H507</f>
        <v>60.75</v>
      </c>
      <c r="O507" s="18" t="n">
        <v>4.761904762</v>
      </c>
      <c r="P507" s="16" t="n">
        <f aca="false">I507</f>
        <v>3.0375</v>
      </c>
      <c r="Q507" s="19" t="n">
        <v>7.6</v>
      </c>
      <c r="R507" s="0" t="str">
        <f aca="false">TEXT(K507,"mmm yyyy")</f>
        <v>Feb 2019</v>
      </c>
      <c r="S507" s="14" t="n">
        <f aca="false">HOUR(TIMEVALUE(L507))</f>
        <v>15</v>
      </c>
      <c r="T507" s="0" t="str">
        <f aca="false">IF(S507&lt;12,"Morning",IF(S507&lt;17,"Afternoon","Evening"))</f>
        <v>Afternoon</v>
      </c>
      <c r="U507" s="16" t="n">
        <f aca="false">G507*H507*0.05</f>
        <v>3.0375</v>
      </c>
    </row>
    <row r="508" customFormat="false" ht="15" hidden="false" customHeight="false" outlineLevel="0" collapsed="false">
      <c r="A508" s="0" t="s">
        <v>906</v>
      </c>
      <c r="B508" s="0" t="s">
        <v>25</v>
      </c>
      <c r="C508" s="0" t="s">
        <v>68</v>
      </c>
      <c r="D508" s="0" t="s">
        <v>21</v>
      </c>
      <c r="E508" s="0" t="s">
        <v>57</v>
      </c>
      <c r="F508" s="0" t="s">
        <v>31</v>
      </c>
      <c r="G508" s="16" t="n">
        <v>68.36</v>
      </c>
      <c r="H508" s="0" t="n">
        <v>5</v>
      </c>
      <c r="I508" s="16" t="n">
        <f aca="false">G508*H508*0.05</f>
        <v>17.09</v>
      </c>
      <c r="J508" s="16" t="n">
        <f aca="false">G508*H508*1.05</f>
        <v>358.89</v>
      </c>
      <c r="K508" s="17" t="n">
        <v>43509</v>
      </c>
      <c r="L508" s="14" t="s">
        <v>844</v>
      </c>
      <c r="M508" s="14" t="s">
        <v>30</v>
      </c>
      <c r="N508" s="16" t="n">
        <f aca="false">G508*H508</f>
        <v>341.8</v>
      </c>
      <c r="O508" s="18" t="n">
        <v>4.761904762</v>
      </c>
      <c r="P508" s="16" t="n">
        <f aca="false">I508</f>
        <v>17.09</v>
      </c>
      <c r="Q508" s="19" t="n">
        <v>9</v>
      </c>
      <c r="R508" s="0" t="str">
        <f aca="false">TEXT(K508,"mmm yyyy")</f>
        <v>Feb 2019</v>
      </c>
      <c r="S508" s="14" t="n">
        <f aca="false">HOUR(TIMEVALUE(L508))</f>
        <v>13</v>
      </c>
      <c r="T508" s="0" t="str">
        <f aca="false">IF(S508&lt;12,"Morning",IF(S508&lt;17,"Afternoon","Evening"))</f>
        <v>Afternoon</v>
      </c>
      <c r="U508" s="16" t="n">
        <f aca="false">G508*H508*0.05</f>
        <v>17.09</v>
      </c>
    </row>
    <row r="509" customFormat="false" ht="15" hidden="false" customHeight="false" outlineLevel="0" collapsed="false">
      <c r="A509" s="0" t="s">
        <v>907</v>
      </c>
      <c r="B509" s="0" t="s">
        <v>29</v>
      </c>
      <c r="C509" s="0" t="s">
        <v>56</v>
      </c>
      <c r="D509" s="0" t="s">
        <v>22</v>
      </c>
      <c r="E509" s="0" t="s">
        <v>60</v>
      </c>
      <c r="F509" s="0" t="s">
        <v>35</v>
      </c>
      <c r="G509" s="16" t="n">
        <v>70.88</v>
      </c>
      <c r="H509" s="0" t="n">
        <v>9</v>
      </c>
      <c r="I509" s="16" t="n">
        <f aca="false">G509*H509*0.05</f>
        <v>31.896</v>
      </c>
      <c r="J509" s="16" t="n">
        <f aca="false">G509*H509*1.05</f>
        <v>669.816</v>
      </c>
      <c r="K509" s="17" t="n">
        <v>43509</v>
      </c>
      <c r="L509" s="14" t="s">
        <v>232</v>
      </c>
      <c r="M509" s="14" t="s">
        <v>34</v>
      </c>
      <c r="N509" s="16" t="n">
        <f aca="false">G509*H509</f>
        <v>637.92</v>
      </c>
      <c r="O509" s="18" t="n">
        <v>4.761904762</v>
      </c>
      <c r="P509" s="16" t="n">
        <f aca="false">I509</f>
        <v>31.896</v>
      </c>
      <c r="Q509" s="19" t="n">
        <v>7.6</v>
      </c>
      <c r="R509" s="0" t="str">
        <f aca="false">TEXT(K509,"mmm yyyy")</f>
        <v>Feb 2019</v>
      </c>
      <c r="S509" s="14" t="n">
        <f aca="false">HOUR(TIMEVALUE(L509))</f>
        <v>16</v>
      </c>
      <c r="T509" s="0" t="str">
        <f aca="false">IF(S509&lt;12,"Morning",IF(S509&lt;17,"Afternoon","Evening"))</f>
        <v>Afternoon</v>
      </c>
      <c r="U509" s="16" t="n">
        <f aca="false">G509*H509*0.05</f>
        <v>31.896</v>
      </c>
    </row>
    <row r="510" customFormat="false" ht="15" hidden="false" customHeight="false" outlineLevel="0" collapsed="false">
      <c r="A510" s="0" t="s">
        <v>908</v>
      </c>
      <c r="B510" s="0" t="s">
        <v>29</v>
      </c>
      <c r="C510" s="0" t="s">
        <v>56</v>
      </c>
      <c r="D510" s="0" t="s">
        <v>22</v>
      </c>
      <c r="E510" s="0" t="s">
        <v>60</v>
      </c>
      <c r="F510" s="0" t="s">
        <v>36</v>
      </c>
      <c r="G510" s="16" t="n">
        <v>74.5</v>
      </c>
      <c r="H510" s="0" t="n">
        <v>2</v>
      </c>
      <c r="I510" s="16" t="n">
        <f aca="false">G510*H510*0.05</f>
        <v>7.45</v>
      </c>
      <c r="J510" s="16" t="n">
        <f aca="false">G510*H510*1.05</f>
        <v>156.45</v>
      </c>
      <c r="K510" s="17" t="n">
        <v>43510</v>
      </c>
      <c r="L510" s="14" t="s">
        <v>815</v>
      </c>
      <c r="M510" s="14" t="s">
        <v>34</v>
      </c>
      <c r="N510" s="16" t="n">
        <f aca="false">G510*H510</f>
        <v>149</v>
      </c>
      <c r="O510" s="18" t="n">
        <v>4.761904762</v>
      </c>
      <c r="P510" s="16" t="n">
        <f aca="false">I510</f>
        <v>7.45</v>
      </c>
      <c r="Q510" s="19" t="n">
        <v>5.1</v>
      </c>
      <c r="R510" s="0" t="str">
        <f aca="false">TEXT(K510,"mmm yyyy")</f>
        <v>Feb 2019</v>
      </c>
      <c r="S510" s="14" t="n">
        <f aca="false">HOUR(TIMEVALUE(L510))</f>
        <v>17</v>
      </c>
      <c r="T510" s="0" t="str">
        <f aca="false">IF(S510&lt;12,"Morning",IF(S510&lt;17,"Afternoon","Evening"))</f>
        <v>Evening</v>
      </c>
      <c r="U510" s="16" t="n">
        <f aca="false">G510*H510*0.05</f>
        <v>7.45</v>
      </c>
    </row>
    <row r="511" customFormat="false" ht="15" hidden="false" customHeight="false" outlineLevel="0" collapsed="false">
      <c r="A511" s="0" t="s">
        <v>909</v>
      </c>
      <c r="B511" s="0" t="s">
        <v>29</v>
      </c>
      <c r="C511" s="0" t="s">
        <v>56</v>
      </c>
      <c r="D511" s="0" t="s">
        <v>21</v>
      </c>
      <c r="E511" s="0" t="s">
        <v>60</v>
      </c>
      <c r="F511" s="0" t="s">
        <v>36</v>
      </c>
      <c r="G511" s="16" t="n">
        <v>76.81</v>
      </c>
      <c r="H511" s="0" t="n">
        <v>10</v>
      </c>
      <c r="I511" s="16" t="n">
        <f aca="false">G511*H511*0.05</f>
        <v>38.405</v>
      </c>
      <c r="J511" s="16" t="n">
        <f aca="false">G511*H511*1.05</f>
        <v>806.505</v>
      </c>
      <c r="K511" s="17" t="n">
        <v>43510</v>
      </c>
      <c r="L511" s="14" t="s">
        <v>910</v>
      </c>
      <c r="M511" s="14" t="s">
        <v>34</v>
      </c>
      <c r="N511" s="16" t="n">
        <f aca="false">G511*H511</f>
        <v>768.1</v>
      </c>
      <c r="O511" s="18" t="n">
        <v>4.761904762</v>
      </c>
      <c r="P511" s="16" t="n">
        <f aca="false">I511</f>
        <v>38.405</v>
      </c>
      <c r="Q511" s="19" t="n">
        <v>6.7</v>
      </c>
      <c r="R511" s="0" t="str">
        <f aca="false">TEXT(K511,"mmm yyyy")</f>
        <v>Feb 2019</v>
      </c>
      <c r="S511" s="14" t="n">
        <f aca="false">HOUR(TIMEVALUE(L511))</f>
        <v>13</v>
      </c>
      <c r="T511" s="0" t="str">
        <f aca="false">IF(S511&lt;12,"Morning",IF(S511&lt;17,"Afternoon","Evening"))</f>
        <v>Afternoon</v>
      </c>
      <c r="U511" s="16" t="n">
        <f aca="false">G511*H511*0.05</f>
        <v>38.405</v>
      </c>
    </row>
    <row r="512" customFormat="false" ht="15" hidden="false" customHeight="false" outlineLevel="0" collapsed="false">
      <c r="A512" s="0" t="s">
        <v>911</v>
      </c>
      <c r="B512" s="0" t="s">
        <v>25</v>
      </c>
      <c r="C512" s="0" t="s">
        <v>68</v>
      </c>
      <c r="D512" s="0" t="s">
        <v>21</v>
      </c>
      <c r="E512" s="0" t="s">
        <v>60</v>
      </c>
      <c r="F512" s="0" t="s">
        <v>36</v>
      </c>
      <c r="G512" s="16" t="n">
        <v>78.49</v>
      </c>
      <c r="H512" s="0" t="n">
        <v>3</v>
      </c>
      <c r="I512" s="16" t="n">
        <f aca="false">G512*H512*0.05</f>
        <v>11.7735</v>
      </c>
      <c r="J512" s="16" t="n">
        <f aca="false">G512*H512*1.05</f>
        <v>247.2435</v>
      </c>
      <c r="K512" s="17" t="n">
        <v>43510</v>
      </c>
      <c r="L512" s="14" t="s">
        <v>164</v>
      </c>
      <c r="M512" s="14" t="s">
        <v>34</v>
      </c>
      <c r="N512" s="16" t="n">
        <f aca="false">G512*H512</f>
        <v>235.47</v>
      </c>
      <c r="O512" s="18" t="n">
        <v>4.761904762</v>
      </c>
      <c r="P512" s="16" t="n">
        <f aca="false">I512</f>
        <v>11.7735</v>
      </c>
      <c r="Q512" s="19" t="n">
        <v>5.6</v>
      </c>
      <c r="R512" s="0" t="str">
        <f aca="false">TEXT(K512,"mmm yyyy")</f>
        <v>Feb 2019</v>
      </c>
      <c r="S512" s="14" t="n">
        <f aca="false">HOUR(TIMEVALUE(L512))</f>
        <v>14</v>
      </c>
      <c r="T512" s="0" t="str">
        <f aca="false">IF(S512&lt;12,"Morning",IF(S512&lt;17,"Afternoon","Evening"))</f>
        <v>Afternoon</v>
      </c>
      <c r="U512" s="16" t="n">
        <f aca="false">G512*H512*0.05</f>
        <v>11.7735</v>
      </c>
    </row>
    <row r="513" customFormat="false" ht="15" hidden="false" customHeight="false" outlineLevel="0" collapsed="false">
      <c r="A513" s="0" t="s">
        <v>912</v>
      </c>
      <c r="B513" s="0" t="s">
        <v>25</v>
      </c>
      <c r="C513" s="0" t="s">
        <v>68</v>
      </c>
      <c r="D513" s="0" t="s">
        <v>22</v>
      </c>
      <c r="E513" s="0" t="s">
        <v>60</v>
      </c>
      <c r="F513" s="0" t="s">
        <v>35</v>
      </c>
      <c r="G513" s="16" t="n">
        <v>62.44</v>
      </c>
      <c r="H513" s="0" t="n">
        <v>4</v>
      </c>
      <c r="I513" s="16" t="n">
        <f aca="false">G513*H513*0.05</f>
        <v>12.488</v>
      </c>
      <c r="J513" s="16" t="n">
        <f aca="false">G513*H513*1.05</f>
        <v>262.248</v>
      </c>
      <c r="K513" s="17" t="n">
        <v>43510</v>
      </c>
      <c r="L513" s="14" t="s">
        <v>913</v>
      </c>
      <c r="M513" s="14" t="s">
        <v>34</v>
      </c>
      <c r="N513" s="16" t="n">
        <f aca="false">G513*H513</f>
        <v>249.76</v>
      </c>
      <c r="O513" s="18" t="n">
        <v>4.761904762</v>
      </c>
      <c r="P513" s="16" t="n">
        <f aca="false">I513</f>
        <v>12.488</v>
      </c>
      <c r="Q513" s="19" t="n">
        <v>8</v>
      </c>
      <c r="R513" s="0" t="str">
        <f aca="false">TEXT(K513,"mmm yyyy")</f>
        <v>Feb 2019</v>
      </c>
      <c r="S513" s="14" t="n">
        <f aca="false">HOUR(TIMEVALUE(L513))</f>
        <v>12</v>
      </c>
      <c r="T513" s="0" t="str">
        <f aca="false">IF(S513&lt;12,"Morning",IF(S513&lt;17,"Afternoon","Evening"))</f>
        <v>Afternoon</v>
      </c>
      <c r="U513" s="16" t="n">
        <f aca="false">G513*H513*0.05</f>
        <v>12.488</v>
      </c>
    </row>
    <row r="514" customFormat="false" ht="15" hidden="false" customHeight="false" outlineLevel="0" collapsed="false">
      <c r="A514" s="0" t="s">
        <v>914</v>
      </c>
      <c r="B514" s="0" t="s">
        <v>29</v>
      </c>
      <c r="C514" s="0" t="s">
        <v>56</v>
      </c>
      <c r="D514" s="0" t="s">
        <v>21</v>
      </c>
      <c r="E514" s="0" t="s">
        <v>60</v>
      </c>
      <c r="F514" s="0" t="s">
        <v>31</v>
      </c>
      <c r="G514" s="16" t="n">
        <v>99.6</v>
      </c>
      <c r="H514" s="0" t="n">
        <v>8</v>
      </c>
      <c r="I514" s="16" t="n">
        <f aca="false">G514*H514*0.05</f>
        <v>39.84</v>
      </c>
      <c r="J514" s="16" t="n">
        <f aca="false">G514*H514*1.05</f>
        <v>836.64</v>
      </c>
      <c r="K514" s="17" t="n">
        <v>43510</v>
      </c>
      <c r="L514" s="14" t="s">
        <v>738</v>
      </c>
      <c r="M514" s="14" t="s">
        <v>26</v>
      </c>
      <c r="N514" s="16" t="n">
        <f aca="false">G514*H514</f>
        <v>796.8</v>
      </c>
      <c r="O514" s="18" t="n">
        <v>4.761904762</v>
      </c>
      <c r="P514" s="16" t="n">
        <f aca="false">I514</f>
        <v>39.84</v>
      </c>
      <c r="Q514" s="19" t="n">
        <v>4.8</v>
      </c>
      <c r="R514" s="0" t="str">
        <f aca="false">TEXT(K514,"mmm yyyy")</f>
        <v>Feb 2019</v>
      </c>
      <c r="S514" s="14" t="n">
        <f aca="false">HOUR(TIMEVALUE(L514))</f>
        <v>12</v>
      </c>
      <c r="T514" s="0" t="str">
        <f aca="false">IF(S514&lt;12,"Morning",IF(S514&lt;17,"Afternoon","Evening"))</f>
        <v>Afternoon</v>
      </c>
      <c r="U514" s="16" t="n">
        <f aca="false">G514*H514*0.05</f>
        <v>39.84</v>
      </c>
    </row>
    <row r="515" customFormat="false" ht="15" hidden="false" customHeight="false" outlineLevel="0" collapsed="false">
      <c r="A515" s="0" t="s">
        <v>915</v>
      </c>
      <c r="B515" s="0" t="s">
        <v>25</v>
      </c>
      <c r="C515" s="0" t="s">
        <v>68</v>
      </c>
      <c r="D515" s="0" t="s">
        <v>22</v>
      </c>
      <c r="E515" s="0" t="s">
        <v>57</v>
      </c>
      <c r="F515" s="0" t="s">
        <v>37</v>
      </c>
      <c r="G515" s="16" t="n">
        <v>59.21</v>
      </c>
      <c r="H515" s="0" t="n">
        <v>2</v>
      </c>
      <c r="I515" s="16" t="n">
        <f aca="false">G515*H515*0.05</f>
        <v>5.921</v>
      </c>
      <c r="J515" s="16" t="n">
        <f aca="false">G515*H515*1.05</f>
        <v>124.341</v>
      </c>
      <c r="K515" s="17" t="n">
        <v>43510</v>
      </c>
      <c r="L515" s="14" t="s">
        <v>916</v>
      </c>
      <c r="M515" s="14" t="s">
        <v>30</v>
      </c>
      <c r="N515" s="16" t="n">
        <f aca="false">G515*H515</f>
        <v>118.42</v>
      </c>
      <c r="O515" s="18" t="n">
        <v>4.761904762</v>
      </c>
      <c r="P515" s="16" t="n">
        <f aca="false">I515</f>
        <v>5.921</v>
      </c>
      <c r="Q515" s="19" t="n">
        <v>9.2</v>
      </c>
      <c r="R515" s="0" t="str">
        <f aca="false">TEXT(K515,"mmm yyyy")</f>
        <v>Feb 2019</v>
      </c>
      <c r="S515" s="14" t="n">
        <f aca="false">HOUR(TIMEVALUE(L515))</f>
        <v>16</v>
      </c>
      <c r="T515" s="0" t="str">
        <f aca="false">IF(S515&lt;12,"Morning",IF(S515&lt;17,"Afternoon","Evening"))</f>
        <v>Afternoon</v>
      </c>
      <c r="U515" s="16" t="n">
        <f aca="false">G515*H515*0.05</f>
        <v>5.921</v>
      </c>
    </row>
    <row r="516" customFormat="false" ht="15" hidden="false" customHeight="false" outlineLevel="0" collapsed="false">
      <c r="A516" s="0" t="s">
        <v>917</v>
      </c>
      <c r="B516" s="0" t="s">
        <v>29</v>
      </c>
      <c r="C516" s="0" t="s">
        <v>56</v>
      </c>
      <c r="D516" s="0" t="s">
        <v>22</v>
      </c>
      <c r="E516" s="0" t="s">
        <v>57</v>
      </c>
      <c r="F516" s="0" t="s">
        <v>36</v>
      </c>
      <c r="G516" s="16" t="n">
        <v>83.07</v>
      </c>
      <c r="H516" s="0" t="n">
        <v>5</v>
      </c>
      <c r="I516" s="16" t="n">
        <f aca="false">G516*H516*0.05</f>
        <v>20.7675</v>
      </c>
      <c r="J516" s="16" t="n">
        <f aca="false">G516*H516*1.05</f>
        <v>436.1175</v>
      </c>
      <c r="K516" s="17" t="n">
        <v>43510</v>
      </c>
      <c r="L516" s="14" t="s">
        <v>104</v>
      </c>
      <c r="M516" s="14" t="s">
        <v>26</v>
      </c>
      <c r="N516" s="16" t="n">
        <f aca="false">G516*H516</f>
        <v>415.35</v>
      </c>
      <c r="O516" s="18" t="n">
        <v>4.761904762</v>
      </c>
      <c r="P516" s="16" t="n">
        <f aca="false">I516</f>
        <v>20.7675</v>
      </c>
      <c r="Q516" s="19" t="n">
        <v>6.3</v>
      </c>
      <c r="R516" s="0" t="str">
        <f aca="false">TEXT(K516,"mmm yyyy")</f>
        <v>Feb 2019</v>
      </c>
      <c r="S516" s="14" t="n">
        <f aca="false">HOUR(TIMEVALUE(L516))</f>
        <v>13</v>
      </c>
      <c r="T516" s="0" t="str">
        <f aca="false">IF(S516&lt;12,"Morning",IF(S516&lt;17,"Afternoon","Evening"))</f>
        <v>Afternoon</v>
      </c>
      <c r="U516" s="16" t="n">
        <f aca="false">G516*H516*0.05</f>
        <v>20.7675</v>
      </c>
    </row>
    <row r="517" customFormat="false" ht="15" hidden="false" customHeight="false" outlineLevel="0" collapsed="false">
      <c r="A517" s="0" t="s">
        <v>918</v>
      </c>
      <c r="B517" s="0" t="s">
        <v>25</v>
      </c>
      <c r="C517" s="0" t="s">
        <v>68</v>
      </c>
      <c r="D517" s="0" t="s">
        <v>21</v>
      </c>
      <c r="E517" s="0" t="s">
        <v>57</v>
      </c>
      <c r="F517" s="0" t="s">
        <v>37</v>
      </c>
      <c r="G517" s="16" t="n">
        <v>38.73</v>
      </c>
      <c r="H517" s="0" t="n">
        <v>2</v>
      </c>
      <c r="I517" s="16" t="n">
        <f aca="false">G517*H517*0.05</f>
        <v>3.873</v>
      </c>
      <c r="J517" s="16" t="n">
        <f aca="false">G517*H517*1.05</f>
        <v>81.333</v>
      </c>
      <c r="K517" s="17" t="n">
        <v>43510</v>
      </c>
      <c r="L517" s="14" t="s">
        <v>279</v>
      </c>
      <c r="M517" s="14" t="s">
        <v>34</v>
      </c>
      <c r="N517" s="16" t="n">
        <f aca="false">G517*H517</f>
        <v>77.46</v>
      </c>
      <c r="O517" s="18" t="n">
        <v>4.761904762</v>
      </c>
      <c r="P517" s="16" t="n">
        <f aca="false">I517</f>
        <v>3.873</v>
      </c>
      <c r="Q517" s="19" t="n">
        <v>8</v>
      </c>
      <c r="R517" s="0" t="str">
        <f aca="false">TEXT(K517,"mmm yyyy")</f>
        <v>Feb 2019</v>
      </c>
      <c r="S517" s="14" t="n">
        <f aca="false">HOUR(TIMEVALUE(L517))</f>
        <v>18</v>
      </c>
      <c r="T517" s="0" t="str">
        <f aca="false">IF(S517&lt;12,"Morning",IF(S517&lt;17,"Afternoon","Evening"))</f>
        <v>Evening</v>
      </c>
      <c r="U517" s="16" t="n">
        <f aca="false">G517*H517*0.05</f>
        <v>3.873</v>
      </c>
    </row>
    <row r="518" customFormat="false" ht="15" hidden="false" customHeight="false" outlineLevel="0" collapsed="false">
      <c r="A518" s="0" t="s">
        <v>919</v>
      </c>
      <c r="B518" s="0" t="s">
        <v>25</v>
      </c>
      <c r="C518" s="0" t="s">
        <v>68</v>
      </c>
      <c r="D518" s="0" t="s">
        <v>21</v>
      </c>
      <c r="E518" s="0" t="s">
        <v>57</v>
      </c>
      <c r="F518" s="0" t="s">
        <v>23</v>
      </c>
      <c r="G518" s="16" t="n">
        <v>51.06</v>
      </c>
      <c r="H518" s="0" t="n">
        <v>3</v>
      </c>
      <c r="I518" s="16" t="n">
        <f aca="false">G518*H518*0.05</f>
        <v>7.659</v>
      </c>
      <c r="J518" s="16" t="n">
        <f aca="false">G518*H518*1.05</f>
        <v>160.839</v>
      </c>
      <c r="K518" s="17" t="n">
        <v>43510</v>
      </c>
      <c r="L518" s="14" t="s">
        <v>920</v>
      </c>
      <c r="M518" s="14" t="s">
        <v>34</v>
      </c>
      <c r="N518" s="16" t="n">
        <f aca="false">G518*H518</f>
        <v>153.18</v>
      </c>
      <c r="O518" s="18" t="n">
        <v>4.761904762</v>
      </c>
      <c r="P518" s="16" t="n">
        <f aca="false">I518</f>
        <v>7.659</v>
      </c>
      <c r="Q518" s="19" t="n">
        <v>7.2</v>
      </c>
      <c r="R518" s="0" t="str">
        <f aca="false">TEXT(K518,"mmm yyyy")</f>
        <v>Feb 2019</v>
      </c>
      <c r="S518" s="14" t="n">
        <f aca="false">HOUR(TIMEVALUE(L518))</f>
        <v>17</v>
      </c>
      <c r="T518" s="0" t="str">
        <f aca="false">IF(S518&lt;12,"Morning",IF(S518&lt;17,"Afternoon","Evening"))</f>
        <v>Evening</v>
      </c>
      <c r="U518" s="16" t="n">
        <f aca="false">G518*H518*0.05</f>
        <v>7.659</v>
      </c>
    </row>
    <row r="519" customFormat="false" ht="15" hidden="false" customHeight="false" outlineLevel="0" collapsed="false">
      <c r="A519" s="0" t="s">
        <v>921</v>
      </c>
      <c r="B519" s="0" t="s">
        <v>25</v>
      </c>
      <c r="C519" s="0" t="s">
        <v>68</v>
      </c>
      <c r="D519" s="0" t="s">
        <v>21</v>
      </c>
      <c r="E519" s="0" t="s">
        <v>60</v>
      </c>
      <c r="F519" s="0" t="s">
        <v>36</v>
      </c>
      <c r="G519" s="16" t="n">
        <v>68.95</v>
      </c>
      <c r="H519" s="0" t="n">
        <v>7</v>
      </c>
      <c r="I519" s="16" t="n">
        <f aca="false">G519*H519*0.05</f>
        <v>24.1325</v>
      </c>
      <c r="J519" s="16" t="n">
        <f aca="false">G519*H519*1.05</f>
        <v>506.7825</v>
      </c>
      <c r="K519" s="17" t="n">
        <v>43510</v>
      </c>
      <c r="L519" s="14" t="s">
        <v>922</v>
      </c>
      <c r="M519" s="14" t="s">
        <v>34</v>
      </c>
      <c r="N519" s="16" t="n">
        <f aca="false">G519*H519</f>
        <v>482.65</v>
      </c>
      <c r="O519" s="18" t="n">
        <v>4.761904762</v>
      </c>
      <c r="P519" s="16" t="n">
        <f aca="false">I519</f>
        <v>24.1325</v>
      </c>
      <c r="Q519" s="19" t="n">
        <v>5.7</v>
      </c>
      <c r="R519" s="0" t="str">
        <f aca="false">TEXT(K519,"mmm yyyy")</f>
        <v>Feb 2019</v>
      </c>
      <c r="S519" s="14" t="n">
        <f aca="false">HOUR(TIMEVALUE(L519))</f>
        <v>14</v>
      </c>
      <c r="T519" s="0" t="str">
        <f aca="false">IF(S519&lt;12,"Morning",IF(S519&lt;17,"Afternoon","Evening"))</f>
        <v>Afternoon</v>
      </c>
      <c r="U519" s="16" t="n">
        <f aca="false">G519*H519*0.05</f>
        <v>24.1325</v>
      </c>
    </row>
    <row r="520" customFormat="false" ht="15" hidden="false" customHeight="false" outlineLevel="0" collapsed="false">
      <c r="A520" s="0" t="s">
        <v>923</v>
      </c>
      <c r="B520" s="0" t="s">
        <v>29</v>
      </c>
      <c r="C520" s="0" t="s">
        <v>56</v>
      </c>
      <c r="D520" s="0" t="s">
        <v>21</v>
      </c>
      <c r="E520" s="0" t="s">
        <v>60</v>
      </c>
      <c r="F520" s="0" t="s">
        <v>35</v>
      </c>
      <c r="G520" s="16" t="n">
        <v>61.37</v>
      </c>
      <c r="H520" s="0" t="n">
        <v>4</v>
      </c>
      <c r="I520" s="16" t="n">
        <f aca="false">G520*H520*0.05</f>
        <v>12.274</v>
      </c>
      <c r="J520" s="16" t="n">
        <f aca="false">G520*H520*1.05</f>
        <v>257.754</v>
      </c>
      <c r="K520" s="17" t="n">
        <v>43510</v>
      </c>
      <c r="L520" s="14" t="s">
        <v>164</v>
      </c>
      <c r="M520" s="14" t="s">
        <v>34</v>
      </c>
      <c r="N520" s="16" t="n">
        <f aca="false">G520*H520</f>
        <v>245.48</v>
      </c>
      <c r="O520" s="18" t="n">
        <v>4.761904762</v>
      </c>
      <c r="P520" s="16" t="n">
        <f aca="false">I520</f>
        <v>12.274</v>
      </c>
      <c r="Q520" s="19" t="n">
        <v>5.3</v>
      </c>
      <c r="R520" s="0" t="str">
        <f aca="false">TEXT(K520,"mmm yyyy")</f>
        <v>Feb 2019</v>
      </c>
      <c r="S520" s="14" t="n">
        <f aca="false">HOUR(TIMEVALUE(L520))</f>
        <v>14</v>
      </c>
      <c r="T520" s="0" t="str">
        <f aca="false">IF(S520&lt;12,"Morning",IF(S520&lt;17,"Afternoon","Evening"))</f>
        <v>Afternoon</v>
      </c>
      <c r="U520" s="16" t="n">
        <f aca="false">G520*H520*0.05</f>
        <v>12.274</v>
      </c>
    </row>
    <row r="521" customFormat="false" ht="15" hidden="false" customHeight="false" outlineLevel="0" collapsed="false">
      <c r="A521" s="0" t="s">
        <v>924</v>
      </c>
      <c r="B521" s="0" t="s">
        <v>33</v>
      </c>
      <c r="C521" s="0" t="s">
        <v>65</v>
      </c>
      <c r="D521" s="0" t="s">
        <v>22</v>
      </c>
      <c r="E521" s="0" t="s">
        <v>60</v>
      </c>
      <c r="F521" s="0" t="s">
        <v>31</v>
      </c>
      <c r="G521" s="16" t="n">
        <v>87.37</v>
      </c>
      <c r="H521" s="0" t="n">
        <v>3</v>
      </c>
      <c r="I521" s="16" t="n">
        <f aca="false">G521*H521*0.05</f>
        <v>13.1055</v>
      </c>
      <c r="J521" s="16" t="n">
        <f aca="false">G521*H521*1.05</f>
        <v>275.2155</v>
      </c>
      <c r="K521" s="17" t="n">
        <v>43511</v>
      </c>
      <c r="L521" s="14" t="s">
        <v>925</v>
      </c>
      <c r="M521" s="14" t="s">
        <v>34</v>
      </c>
      <c r="N521" s="16" t="n">
        <f aca="false">G521*H521</f>
        <v>262.11</v>
      </c>
      <c r="O521" s="18" t="n">
        <v>4.761904762</v>
      </c>
      <c r="P521" s="16" t="n">
        <f aca="false">I521</f>
        <v>13.1055</v>
      </c>
      <c r="Q521" s="19" t="n">
        <v>4.2</v>
      </c>
      <c r="R521" s="0" t="str">
        <f aca="false">TEXT(K521,"mmm yyyy")</f>
        <v>Feb 2019</v>
      </c>
      <c r="S521" s="14" t="n">
        <f aca="false">HOUR(TIMEVALUE(L521))</f>
        <v>11</v>
      </c>
      <c r="T521" s="0" t="str">
        <f aca="false">IF(S521&lt;12,"Morning",IF(S521&lt;17,"Afternoon","Evening"))</f>
        <v>Morning</v>
      </c>
      <c r="U521" s="16" t="n">
        <f aca="false">G521*H521*0.05</f>
        <v>13.1055</v>
      </c>
    </row>
    <row r="522" customFormat="false" ht="15" hidden="false" customHeight="false" outlineLevel="0" collapsed="false">
      <c r="A522" s="0" t="s">
        <v>926</v>
      </c>
      <c r="B522" s="0" t="s">
        <v>25</v>
      </c>
      <c r="C522" s="0" t="s">
        <v>68</v>
      </c>
      <c r="D522" s="0" t="s">
        <v>21</v>
      </c>
      <c r="E522" s="0" t="s">
        <v>60</v>
      </c>
      <c r="F522" s="0" t="s">
        <v>36</v>
      </c>
      <c r="G522" s="16" t="n">
        <v>36.27</v>
      </c>
      <c r="H522" s="0" t="n">
        <v>5</v>
      </c>
      <c r="I522" s="16" t="n">
        <f aca="false">G522*H522*0.05</f>
        <v>9.0675</v>
      </c>
      <c r="J522" s="16" t="n">
        <f aca="false">G522*H522*1.05</f>
        <v>190.4175</v>
      </c>
      <c r="K522" s="17" t="n">
        <v>43511</v>
      </c>
      <c r="L522" s="14" t="s">
        <v>927</v>
      </c>
      <c r="M522" s="14" t="s">
        <v>30</v>
      </c>
      <c r="N522" s="16" t="n">
        <f aca="false">G522*H522</f>
        <v>181.35</v>
      </c>
      <c r="O522" s="18" t="n">
        <v>4.761904762</v>
      </c>
      <c r="P522" s="16" t="n">
        <f aca="false">I522</f>
        <v>9.0675</v>
      </c>
      <c r="Q522" s="19" t="n">
        <v>7</v>
      </c>
      <c r="R522" s="0" t="str">
        <f aca="false">TEXT(K522,"mmm yyyy")</f>
        <v>Feb 2019</v>
      </c>
      <c r="S522" s="14" t="n">
        <f aca="false">HOUR(TIMEVALUE(L522))</f>
        <v>15</v>
      </c>
      <c r="T522" s="0" t="str">
        <f aca="false">IF(S522&lt;12,"Morning",IF(S522&lt;17,"Afternoon","Evening"))</f>
        <v>Afternoon</v>
      </c>
      <c r="U522" s="16" t="n">
        <f aca="false">G522*H522*0.05</f>
        <v>9.0675</v>
      </c>
    </row>
    <row r="523" customFormat="false" ht="15" hidden="false" customHeight="false" outlineLevel="0" collapsed="false">
      <c r="A523" s="0" t="s">
        <v>928</v>
      </c>
      <c r="B523" s="0" t="s">
        <v>33</v>
      </c>
      <c r="C523" s="0" t="s">
        <v>65</v>
      </c>
      <c r="D523" s="0" t="s">
        <v>22</v>
      </c>
      <c r="E523" s="0" t="s">
        <v>60</v>
      </c>
      <c r="F523" s="0" t="s">
        <v>27</v>
      </c>
      <c r="G523" s="16" t="n">
        <v>66.35</v>
      </c>
      <c r="H523" s="0" t="n">
        <v>8</v>
      </c>
      <c r="I523" s="16" t="n">
        <f aca="false">G523*H523*0.05</f>
        <v>26.54</v>
      </c>
      <c r="J523" s="16" t="n">
        <f aca="false">G523*H523*1.05</f>
        <v>557.34</v>
      </c>
      <c r="K523" s="17" t="n">
        <v>43511</v>
      </c>
      <c r="L523" s="14" t="s">
        <v>929</v>
      </c>
      <c r="M523" s="14" t="s">
        <v>26</v>
      </c>
      <c r="N523" s="16" t="n">
        <f aca="false">G523*H523</f>
        <v>530.8</v>
      </c>
      <c r="O523" s="18" t="n">
        <v>4.761904762</v>
      </c>
      <c r="P523" s="16" t="n">
        <f aca="false">I523</f>
        <v>26.54</v>
      </c>
      <c r="Q523" s="19" t="n">
        <v>9.3</v>
      </c>
      <c r="R523" s="0" t="str">
        <f aca="false">TEXT(K523,"mmm yyyy")</f>
        <v>Feb 2019</v>
      </c>
      <c r="S523" s="14" t="n">
        <f aca="false">HOUR(TIMEVALUE(L523))</f>
        <v>15</v>
      </c>
      <c r="T523" s="0" t="str">
        <f aca="false">IF(S523&lt;12,"Morning",IF(S523&lt;17,"Afternoon","Evening"))</f>
        <v>Afternoon</v>
      </c>
      <c r="U523" s="16" t="n">
        <f aca="false">G523*H523*0.05</f>
        <v>26.54</v>
      </c>
    </row>
    <row r="524" customFormat="false" ht="15" hidden="false" customHeight="false" outlineLevel="0" collapsed="false">
      <c r="A524" s="0" t="s">
        <v>930</v>
      </c>
      <c r="B524" s="0" t="s">
        <v>29</v>
      </c>
      <c r="C524" s="0" t="s">
        <v>56</v>
      </c>
      <c r="D524" s="0" t="s">
        <v>22</v>
      </c>
      <c r="E524" s="0" t="s">
        <v>57</v>
      </c>
      <c r="F524" s="0" t="s">
        <v>35</v>
      </c>
      <c r="G524" s="16" t="n">
        <v>17.73</v>
      </c>
      <c r="H524" s="0" t="n">
        <v>10</v>
      </c>
      <c r="I524" s="16" t="n">
        <f aca="false">G524*H524*0.05</f>
        <v>8.865</v>
      </c>
      <c r="J524" s="16" t="n">
        <f aca="false">G524*H524*1.05</f>
        <v>186.165</v>
      </c>
      <c r="K524" s="17" t="n">
        <v>43511</v>
      </c>
      <c r="L524" s="14" t="s">
        <v>931</v>
      </c>
      <c r="M524" s="14" t="s">
        <v>34</v>
      </c>
      <c r="N524" s="16" t="n">
        <f aca="false">G524*H524</f>
        <v>177.3</v>
      </c>
      <c r="O524" s="18" t="n">
        <v>4.761904762</v>
      </c>
      <c r="P524" s="16" t="n">
        <f aca="false">I524</f>
        <v>8.865</v>
      </c>
      <c r="Q524" s="19" t="n">
        <v>5.9</v>
      </c>
      <c r="R524" s="0" t="str">
        <f aca="false">TEXT(K524,"mmm yyyy")</f>
        <v>Feb 2019</v>
      </c>
      <c r="S524" s="14" t="n">
        <f aca="false">HOUR(TIMEVALUE(L524))</f>
        <v>15</v>
      </c>
      <c r="T524" s="0" t="str">
        <f aca="false">IF(S524&lt;12,"Morning",IF(S524&lt;17,"Afternoon","Evening"))</f>
        <v>Afternoon</v>
      </c>
      <c r="U524" s="16" t="n">
        <f aca="false">G524*H524*0.05</f>
        <v>8.865</v>
      </c>
    </row>
    <row r="525" customFormat="false" ht="15" hidden="false" customHeight="false" outlineLevel="0" collapsed="false">
      <c r="A525" s="0" t="s">
        <v>932</v>
      </c>
      <c r="B525" s="0" t="s">
        <v>29</v>
      </c>
      <c r="C525" s="0" t="s">
        <v>56</v>
      </c>
      <c r="D525" s="0" t="s">
        <v>21</v>
      </c>
      <c r="E525" s="0" t="s">
        <v>60</v>
      </c>
      <c r="F525" s="0" t="s">
        <v>35</v>
      </c>
      <c r="G525" s="16" t="n">
        <v>54.73</v>
      </c>
      <c r="H525" s="0" t="n">
        <v>5</v>
      </c>
      <c r="I525" s="16" t="n">
        <f aca="false">G525*H525*0.05</f>
        <v>13.6825</v>
      </c>
      <c r="J525" s="16" t="n">
        <f aca="false">G525*H525*1.05</f>
        <v>287.3325</v>
      </c>
      <c r="K525" s="17" t="n">
        <v>43511</v>
      </c>
      <c r="L525" s="14" t="s">
        <v>494</v>
      </c>
      <c r="M525" s="14" t="s">
        <v>30</v>
      </c>
      <c r="N525" s="16" t="n">
        <f aca="false">G525*H525</f>
        <v>273.65</v>
      </c>
      <c r="O525" s="18" t="n">
        <v>4.761904762</v>
      </c>
      <c r="P525" s="16" t="n">
        <f aca="false">I525</f>
        <v>13.6825</v>
      </c>
      <c r="Q525" s="19" t="n">
        <v>7.7</v>
      </c>
      <c r="R525" s="0" t="str">
        <f aca="false">TEXT(K525,"mmm yyyy")</f>
        <v>Feb 2019</v>
      </c>
      <c r="S525" s="14" t="n">
        <f aca="false">HOUR(TIMEVALUE(L525))</f>
        <v>16</v>
      </c>
      <c r="T525" s="0" t="str">
        <f aca="false">IF(S525&lt;12,"Morning",IF(S525&lt;17,"Afternoon","Evening"))</f>
        <v>Afternoon</v>
      </c>
      <c r="U525" s="16" t="n">
        <f aca="false">G525*H525*0.05</f>
        <v>13.6825</v>
      </c>
    </row>
    <row r="526" customFormat="false" ht="15" hidden="false" customHeight="false" outlineLevel="0" collapsed="false">
      <c r="A526" s="0" t="s">
        <v>933</v>
      </c>
      <c r="B526" s="0" t="s">
        <v>25</v>
      </c>
      <c r="C526" s="0" t="s">
        <v>68</v>
      </c>
      <c r="D526" s="0" t="s">
        <v>22</v>
      </c>
      <c r="E526" s="0" t="s">
        <v>60</v>
      </c>
      <c r="F526" s="0" t="s">
        <v>27</v>
      </c>
      <c r="G526" s="16" t="n">
        <v>61.78</v>
      </c>
      <c r="H526" s="0" t="n">
        <v>10</v>
      </c>
      <c r="I526" s="16" t="n">
        <f aca="false">G526*H526*0.05</f>
        <v>30.89</v>
      </c>
      <c r="J526" s="16" t="n">
        <f aca="false">G526*H526*1.05</f>
        <v>648.69</v>
      </c>
      <c r="K526" s="17" t="n">
        <v>43511</v>
      </c>
      <c r="L526" s="14" t="s">
        <v>934</v>
      </c>
      <c r="M526" s="14" t="s">
        <v>30</v>
      </c>
      <c r="N526" s="16" t="n">
        <f aca="false">G526*H526</f>
        <v>617.8</v>
      </c>
      <c r="O526" s="18" t="n">
        <v>4.761904762</v>
      </c>
      <c r="P526" s="16" t="n">
        <f aca="false">I526</f>
        <v>30.89</v>
      </c>
      <c r="Q526" s="19" t="n">
        <v>7.4</v>
      </c>
      <c r="R526" s="0" t="str">
        <f aca="false">TEXT(K526,"mmm yyyy")</f>
        <v>Feb 2019</v>
      </c>
      <c r="S526" s="14" t="n">
        <f aca="false">HOUR(TIMEVALUE(L526))</f>
        <v>17</v>
      </c>
      <c r="T526" s="0" t="str">
        <f aca="false">IF(S526&lt;12,"Morning",IF(S526&lt;17,"Afternoon","Evening"))</f>
        <v>Evening</v>
      </c>
      <c r="U526" s="16" t="n">
        <f aca="false">G526*H526*0.05</f>
        <v>30.89</v>
      </c>
    </row>
    <row r="527" customFormat="false" ht="15" hidden="false" customHeight="false" outlineLevel="0" collapsed="false">
      <c r="A527" s="0" t="s">
        <v>935</v>
      </c>
      <c r="B527" s="0" t="s">
        <v>33</v>
      </c>
      <c r="C527" s="0" t="s">
        <v>65</v>
      </c>
      <c r="D527" s="0" t="s">
        <v>21</v>
      </c>
      <c r="E527" s="0" t="s">
        <v>57</v>
      </c>
      <c r="F527" s="0" t="s">
        <v>23</v>
      </c>
      <c r="G527" s="16" t="n">
        <v>99.18</v>
      </c>
      <c r="H527" s="0" t="n">
        <v>7</v>
      </c>
      <c r="I527" s="16" t="n">
        <f aca="false">G527*H527*0.05</f>
        <v>34.713</v>
      </c>
      <c r="J527" s="16" t="n">
        <f aca="false">G527*H527*1.05</f>
        <v>728.973</v>
      </c>
      <c r="K527" s="17" t="n">
        <v>43511</v>
      </c>
      <c r="L527" s="14" t="s">
        <v>936</v>
      </c>
      <c r="M527" s="14" t="s">
        <v>34</v>
      </c>
      <c r="N527" s="16" t="n">
        <f aca="false">G527*H527</f>
        <v>694.26</v>
      </c>
      <c r="O527" s="18" t="n">
        <v>4.761904762</v>
      </c>
      <c r="P527" s="16" t="n">
        <f aca="false">I527</f>
        <v>34.713</v>
      </c>
      <c r="Q527" s="19" t="n">
        <v>8.3</v>
      </c>
      <c r="R527" s="0" t="str">
        <f aca="false">TEXT(K527,"mmm yyyy")</f>
        <v>Feb 2019</v>
      </c>
      <c r="S527" s="14" t="n">
        <f aca="false">HOUR(TIMEVALUE(L527))</f>
        <v>15</v>
      </c>
      <c r="T527" s="0" t="str">
        <f aca="false">IF(S527&lt;12,"Morning",IF(S527&lt;17,"Afternoon","Evening"))</f>
        <v>Afternoon</v>
      </c>
      <c r="U527" s="16" t="n">
        <f aca="false">G527*H527*0.05</f>
        <v>34.713</v>
      </c>
    </row>
    <row r="528" customFormat="false" ht="15" hidden="false" customHeight="false" outlineLevel="0" collapsed="false">
      <c r="A528" s="0" t="s">
        <v>937</v>
      </c>
      <c r="B528" s="0" t="s">
        <v>29</v>
      </c>
      <c r="C528" s="0" t="s">
        <v>56</v>
      </c>
      <c r="D528" s="0" t="s">
        <v>22</v>
      </c>
      <c r="E528" s="0" t="s">
        <v>60</v>
      </c>
      <c r="F528" s="0" t="s">
        <v>27</v>
      </c>
      <c r="G528" s="16" t="n">
        <v>96.97</v>
      </c>
      <c r="H528" s="0" t="n">
        <v>5</v>
      </c>
      <c r="I528" s="16" t="n">
        <f aca="false">G528*H528*0.05</f>
        <v>24.2425</v>
      </c>
      <c r="J528" s="16" t="n">
        <f aca="false">G528*H528*1.05</f>
        <v>509.0925</v>
      </c>
      <c r="K528" s="17" t="n">
        <v>43511</v>
      </c>
      <c r="L528" s="14" t="s">
        <v>938</v>
      </c>
      <c r="M528" s="14" t="s">
        <v>34</v>
      </c>
      <c r="N528" s="16" t="n">
        <f aca="false">G528*H528</f>
        <v>484.85</v>
      </c>
      <c r="O528" s="18" t="n">
        <v>4.761904762</v>
      </c>
      <c r="P528" s="16" t="n">
        <f aca="false">I528</f>
        <v>24.2425</v>
      </c>
      <c r="Q528" s="19" t="n">
        <v>7.3</v>
      </c>
      <c r="R528" s="0" t="str">
        <f aca="false">TEXT(K528,"mmm yyyy")</f>
        <v>Feb 2019</v>
      </c>
      <c r="S528" s="14" t="n">
        <f aca="false">HOUR(TIMEVALUE(L528))</f>
        <v>11</v>
      </c>
      <c r="T528" s="0" t="str">
        <f aca="false">IF(S528&lt;12,"Morning",IF(S528&lt;17,"Afternoon","Evening"))</f>
        <v>Morning</v>
      </c>
      <c r="U528" s="16" t="n">
        <f aca="false">G528*H528*0.05</f>
        <v>24.2425</v>
      </c>
    </row>
    <row r="529" customFormat="false" ht="15" hidden="false" customHeight="false" outlineLevel="0" collapsed="false">
      <c r="A529" s="0" t="s">
        <v>939</v>
      </c>
      <c r="B529" s="0" t="s">
        <v>29</v>
      </c>
      <c r="C529" s="0" t="s">
        <v>56</v>
      </c>
      <c r="D529" s="0" t="s">
        <v>22</v>
      </c>
      <c r="E529" s="0" t="s">
        <v>57</v>
      </c>
      <c r="F529" s="0" t="s">
        <v>23</v>
      </c>
      <c r="G529" s="16" t="n">
        <v>27.37</v>
      </c>
      <c r="H529" s="0" t="n">
        <v>6</v>
      </c>
      <c r="I529" s="16" t="n">
        <f aca="false">G529*H529*0.05</f>
        <v>8.211</v>
      </c>
      <c r="J529" s="16" t="n">
        <f aca="false">G529*H529*1.05</f>
        <v>172.431</v>
      </c>
      <c r="K529" s="17" t="n">
        <v>43511</v>
      </c>
      <c r="L529" s="14" t="s">
        <v>423</v>
      </c>
      <c r="M529" s="14" t="s">
        <v>26</v>
      </c>
      <c r="N529" s="16" t="n">
        <f aca="false">G529*H529</f>
        <v>164.22</v>
      </c>
      <c r="O529" s="18" t="n">
        <v>4.761904762</v>
      </c>
      <c r="P529" s="16" t="n">
        <f aca="false">I529</f>
        <v>8.211</v>
      </c>
      <c r="Q529" s="19" t="n">
        <v>9.5</v>
      </c>
      <c r="R529" s="0" t="str">
        <f aca="false">TEXT(K529,"mmm yyyy")</f>
        <v>Feb 2019</v>
      </c>
      <c r="S529" s="14" t="n">
        <f aca="false">HOUR(TIMEVALUE(L529))</f>
        <v>19</v>
      </c>
      <c r="T529" s="0" t="str">
        <f aca="false">IF(S529&lt;12,"Morning",IF(S529&lt;17,"Afternoon","Evening"))</f>
        <v>Evening</v>
      </c>
      <c r="U529" s="16" t="n">
        <f aca="false">G529*H529*0.05</f>
        <v>8.211</v>
      </c>
    </row>
    <row r="530" customFormat="false" ht="15" hidden="false" customHeight="false" outlineLevel="0" collapsed="false">
      <c r="A530" s="0" t="s">
        <v>940</v>
      </c>
      <c r="B530" s="0" t="s">
        <v>33</v>
      </c>
      <c r="C530" s="0" t="s">
        <v>65</v>
      </c>
      <c r="D530" s="0" t="s">
        <v>22</v>
      </c>
      <c r="E530" s="0" t="s">
        <v>60</v>
      </c>
      <c r="F530" s="0" t="s">
        <v>23</v>
      </c>
      <c r="G530" s="16" t="n">
        <v>52.47</v>
      </c>
      <c r="H530" s="0" t="n">
        <v>4</v>
      </c>
      <c r="I530" s="16" t="n">
        <f aca="false">G530*H530*0.05</f>
        <v>10.494</v>
      </c>
      <c r="J530" s="16" t="n">
        <f aca="false">G530*H530*1.05</f>
        <v>220.374</v>
      </c>
      <c r="K530" s="17" t="n">
        <v>43511</v>
      </c>
      <c r="L530" s="14" t="s">
        <v>941</v>
      </c>
      <c r="M530" s="14" t="s">
        <v>30</v>
      </c>
      <c r="N530" s="16" t="n">
        <f aca="false">G530*H530</f>
        <v>209.88</v>
      </c>
      <c r="O530" s="18" t="n">
        <v>4.761904762</v>
      </c>
      <c r="P530" s="16" t="n">
        <f aca="false">I530</f>
        <v>10.494</v>
      </c>
      <c r="Q530" s="19" t="n">
        <v>6.6</v>
      </c>
      <c r="R530" s="0" t="str">
        <f aca="false">TEXT(K530,"mmm yyyy")</f>
        <v>Feb 2019</v>
      </c>
      <c r="S530" s="14" t="n">
        <f aca="false">HOUR(TIMEVALUE(L530))</f>
        <v>20</v>
      </c>
      <c r="T530" s="0" t="str">
        <f aca="false">IF(S530&lt;12,"Morning",IF(S530&lt;17,"Afternoon","Evening"))</f>
        <v>Evening</v>
      </c>
      <c r="U530" s="16" t="n">
        <f aca="false">G530*H530*0.05</f>
        <v>10.494</v>
      </c>
    </row>
    <row r="531" customFormat="false" ht="15" hidden="false" customHeight="false" outlineLevel="0" collapsed="false">
      <c r="A531" s="0" t="s">
        <v>942</v>
      </c>
      <c r="B531" s="0" t="s">
        <v>33</v>
      </c>
      <c r="C531" s="0" t="s">
        <v>65</v>
      </c>
      <c r="D531" s="0" t="s">
        <v>22</v>
      </c>
      <c r="E531" s="0" t="s">
        <v>57</v>
      </c>
      <c r="F531" s="0" t="s">
        <v>35</v>
      </c>
      <c r="G531" s="16" t="n">
        <v>81.16</v>
      </c>
      <c r="H531" s="0" t="n">
        <v>4</v>
      </c>
      <c r="I531" s="16" t="n">
        <f aca="false">G531*H531*0.05</f>
        <v>16.232</v>
      </c>
      <c r="J531" s="16" t="n">
        <f aca="false">G531*H531*1.05</f>
        <v>340.872</v>
      </c>
      <c r="K531" s="17" t="n">
        <v>43512</v>
      </c>
      <c r="L531" s="14" t="s">
        <v>943</v>
      </c>
      <c r="M531" s="14" t="s">
        <v>34</v>
      </c>
      <c r="N531" s="16" t="n">
        <f aca="false">G531*H531</f>
        <v>324.64</v>
      </c>
      <c r="O531" s="18" t="n">
        <v>4.761904762</v>
      </c>
      <c r="P531" s="16" t="n">
        <f aca="false">I531</f>
        <v>16.232</v>
      </c>
      <c r="Q531" s="19" t="n">
        <v>5.9</v>
      </c>
      <c r="R531" s="0" t="str">
        <f aca="false">TEXT(K531,"mmm yyyy")</f>
        <v>Feb 2019</v>
      </c>
      <c r="S531" s="14" t="n">
        <f aca="false">HOUR(TIMEVALUE(L531))</f>
        <v>13</v>
      </c>
      <c r="T531" s="0" t="str">
        <f aca="false">IF(S531&lt;12,"Morning",IF(S531&lt;17,"Afternoon","Evening"))</f>
        <v>Afternoon</v>
      </c>
      <c r="U531" s="16" t="n">
        <f aca="false">G531*H531*0.05</f>
        <v>16.232</v>
      </c>
    </row>
    <row r="532" customFormat="false" ht="15" hidden="false" customHeight="false" outlineLevel="0" collapsed="false">
      <c r="A532" s="0" t="s">
        <v>944</v>
      </c>
      <c r="B532" s="0" t="s">
        <v>25</v>
      </c>
      <c r="C532" s="0" t="s">
        <v>68</v>
      </c>
      <c r="D532" s="0" t="s">
        <v>22</v>
      </c>
      <c r="E532" s="0" t="s">
        <v>60</v>
      </c>
      <c r="F532" s="0" t="s">
        <v>36</v>
      </c>
      <c r="G532" s="16" t="n">
        <v>79.09</v>
      </c>
      <c r="H532" s="0" t="n">
        <v>7</v>
      </c>
      <c r="I532" s="16" t="n">
        <f aca="false">G532*H532*0.05</f>
        <v>27.6815</v>
      </c>
      <c r="J532" s="16" t="n">
        <f aca="false">G532*H532*1.05</f>
        <v>581.3115</v>
      </c>
      <c r="K532" s="17" t="n">
        <v>43512</v>
      </c>
      <c r="L532" s="14" t="s">
        <v>288</v>
      </c>
      <c r="M532" s="14" t="s">
        <v>30</v>
      </c>
      <c r="N532" s="16" t="n">
        <f aca="false">G532*H532</f>
        <v>553.63</v>
      </c>
      <c r="O532" s="18" t="n">
        <v>4.761904762</v>
      </c>
      <c r="P532" s="16" t="n">
        <f aca="false">I532</f>
        <v>27.6815</v>
      </c>
      <c r="Q532" s="19" t="n">
        <v>4.4</v>
      </c>
      <c r="R532" s="0" t="str">
        <f aca="false">TEXT(K532,"mmm yyyy")</f>
        <v>Feb 2019</v>
      </c>
      <c r="S532" s="14" t="n">
        <f aca="false">HOUR(TIMEVALUE(L532))</f>
        <v>18</v>
      </c>
      <c r="T532" s="0" t="str">
        <f aca="false">IF(S532&lt;12,"Morning",IF(S532&lt;17,"Afternoon","Evening"))</f>
        <v>Evening</v>
      </c>
      <c r="U532" s="16" t="n">
        <f aca="false">G532*H532*0.05</f>
        <v>27.6815</v>
      </c>
    </row>
    <row r="533" customFormat="false" ht="15" hidden="false" customHeight="false" outlineLevel="0" collapsed="false">
      <c r="A533" s="0" t="s">
        <v>945</v>
      </c>
      <c r="B533" s="0" t="s">
        <v>33</v>
      </c>
      <c r="C533" s="0" t="s">
        <v>65</v>
      </c>
      <c r="D533" s="0" t="s">
        <v>22</v>
      </c>
      <c r="E533" s="0" t="s">
        <v>57</v>
      </c>
      <c r="F533" s="0" t="s">
        <v>23</v>
      </c>
      <c r="G533" s="16" t="n">
        <v>52.53</v>
      </c>
      <c r="H533" s="0" t="n">
        <v>10</v>
      </c>
      <c r="I533" s="16" t="n">
        <f aca="false">G533*H533*0.05</f>
        <v>26.265</v>
      </c>
      <c r="J533" s="16" t="n">
        <f aca="false">G533*H533*1.05</f>
        <v>551.565</v>
      </c>
      <c r="K533" s="17" t="n">
        <v>43512</v>
      </c>
      <c r="L533" s="14" t="s">
        <v>87</v>
      </c>
      <c r="M533" s="14" t="s">
        <v>30</v>
      </c>
      <c r="N533" s="16" t="n">
        <f aca="false">G533*H533</f>
        <v>525.3</v>
      </c>
      <c r="O533" s="18" t="n">
        <v>4.761904762</v>
      </c>
      <c r="P533" s="16" t="n">
        <f aca="false">I533</f>
        <v>26.265</v>
      </c>
      <c r="Q533" s="19" t="n">
        <v>8.2</v>
      </c>
      <c r="R533" s="0" t="str">
        <f aca="false">TEXT(K533,"mmm yyyy")</f>
        <v>Feb 2019</v>
      </c>
      <c r="S533" s="14" t="n">
        <f aca="false">HOUR(TIMEVALUE(L533))</f>
        <v>10</v>
      </c>
      <c r="T533" s="0" t="str">
        <f aca="false">IF(S533&lt;12,"Morning",IF(S533&lt;17,"Afternoon","Evening"))</f>
        <v>Morning</v>
      </c>
      <c r="U533" s="16" t="n">
        <f aca="false">G533*H533*0.05</f>
        <v>26.265</v>
      </c>
    </row>
    <row r="534" customFormat="false" ht="15" hidden="false" customHeight="false" outlineLevel="0" collapsed="false">
      <c r="A534" s="0" t="s">
        <v>946</v>
      </c>
      <c r="B534" s="0" t="s">
        <v>29</v>
      </c>
      <c r="C534" s="0" t="s">
        <v>56</v>
      </c>
      <c r="D534" s="0" t="s">
        <v>21</v>
      </c>
      <c r="E534" s="0" t="s">
        <v>60</v>
      </c>
      <c r="F534" s="0" t="s">
        <v>35</v>
      </c>
      <c r="G534" s="16" t="n">
        <v>39.91</v>
      </c>
      <c r="H534" s="0" t="n">
        <v>6</v>
      </c>
      <c r="I534" s="16" t="n">
        <f aca="false">G534*H534*0.05</f>
        <v>11.973</v>
      </c>
      <c r="J534" s="16" t="n">
        <f aca="false">G534*H534*1.05</f>
        <v>251.433</v>
      </c>
      <c r="K534" s="17" t="n">
        <v>43512</v>
      </c>
      <c r="L534" s="14" t="s">
        <v>399</v>
      </c>
      <c r="M534" s="14" t="s">
        <v>30</v>
      </c>
      <c r="N534" s="16" t="n">
        <f aca="false">G534*H534</f>
        <v>239.46</v>
      </c>
      <c r="O534" s="18" t="n">
        <v>4.761904762</v>
      </c>
      <c r="P534" s="16" t="n">
        <f aca="false">I534</f>
        <v>11.973</v>
      </c>
      <c r="Q534" s="19" t="n">
        <v>5.6</v>
      </c>
      <c r="R534" s="0" t="str">
        <f aca="false">TEXT(K534,"mmm yyyy")</f>
        <v>Feb 2019</v>
      </c>
      <c r="S534" s="14" t="n">
        <f aca="false">HOUR(TIMEVALUE(L534))</f>
        <v>13</v>
      </c>
      <c r="T534" s="0" t="str">
        <f aca="false">IF(S534&lt;12,"Morning",IF(S534&lt;17,"Afternoon","Evening"))</f>
        <v>Afternoon</v>
      </c>
      <c r="U534" s="16" t="n">
        <f aca="false">G534*H534*0.05</f>
        <v>11.973</v>
      </c>
    </row>
    <row r="535" customFormat="false" ht="15" hidden="false" customHeight="false" outlineLevel="0" collapsed="false">
      <c r="A535" s="0" t="s">
        <v>947</v>
      </c>
      <c r="B535" s="0" t="s">
        <v>25</v>
      </c>
      <c r="C535" s="0" t="s">
        <v>68</v>
      </c>
      <c r="D535" s="0" t="s">
        <v>21</v>
      </c>
      <c r="E535" s="0" t="s">
        <v>57</v>
      </c>
      <c r="F535" s="0" t="s">
        <v>27</v>
      </c>
      <c r="G535" s="16" t="n">
        <v>28.36</v>
      </c>
      <c r="H535" s="0" t="n">
        <v>1</v>
      </c>
      <c r="I535" s="16" t="n">
        <f aca="false">G535*H535*0.05</f>
        <v>1.418</v>
      </c>
      <c r="J535" s="16" t="n">
        <f aca="false">G535*H535*1.05</f>
        <v>29.778</v>
      </c>
      <c r="K535" s="17" t="n">
        <v>43512</v>
      </c>
      <c r="L535" s="14" t="s">
        <v>948</v>
      </c>
      <c r="M535" s="14" t="s">
        <v>26</v>
      </c>
      <c r="N535" s="16" t="n">
        <f aca="false">G535*H535</f>
        <v>28.36</v>
      </c>
      <c r="O535" s="18" t="n">
        <v>4.761904762</v>
      </c>
      <c r="P535" s="16" t="n">
        <f aca="false">I535</f>
        <v>1.418</v>
      </c>
      <c r="Q535" s="19" t="n">
        <v>4.9</v>
      </c>
      <c r="R535" s="0" t="str">
        <f aca="false">TEXT(K535,"mmm yyyy")</f>
        <v>Feb 2019</v>
      </c>
      <c r="S535" s="14" t="n">
        <f aca="false">HOUR(TIMEVALUE(L535))</f>
        <v>13</v>
      </c>
      <c r="T535" s="0" t="str">
        <f aca="false">IF(S535&lt;12,"Morning",IF(S535&lt;17,"Afternoon","Evening"))</f>
        <v>Afternoon</v>
      </c>
      <c r="U535" s="16" t="n">
        <f aca="false">G535*H535*0.05</f>
        <v>1.418</v>
      </c>
    </row>
    <row r="536" customFormat="false" ht="15" hidden="false" customHeight="false" outlineLevel="0" collapsed="false">
      <c r="A536" s="0" t="s">
        <v>949</v>
      </c>
      <c r="B536" s="0" t="s">
        <v>29</v>
      </c>
      <c r="C536" s="0" t="s">
        <v>56</v>
      </c>
      <c r="D536" s="0" t="s">
        <v>21</v>
      </c>
      <c r="E536" s="0" t="s">
        <v>60</v>
      </c>
      <c r="F536" s="0" t="s">
        <v>36</v>
      </c>
      <c r="G536" s="16" t="n">
        <v>20.34</v>
      </c>
      <c r="H536" s="0" t="n">
        <v>2</v>
      </c>
      <c r="I536" s="16" t="n">
        <f aca="false">G536*H536*0.05</f>
        <v>2.034</v>
      </c>
      <c r="J536" s="16" t="n">
        <f aca="false">G536*H536*1.05</f>
        <v>42.714</v>
      </c>
      <c r="K536" s="17" t="n">
        <v>43512</v>
      </c>
      <c r="L536" s="14" t="s">
        <v>950</v>
      </c>
      <c r="M536" s="14" t="s">
        <v>30</v>
      </c>
      <c r="N536" s="16" t="n">
        <f aca="false">G536*H536</f>
        <v>40.68</v>
      </c>
      <c r="O536" s="18" t="n">
        <v>4.761904762</v>
      </c>
      <c r="P536" s="16" t="n">
        <f aca="false">I536</f>
        <v>2.034</v>
      </c>
      <c r="Q536" s="19" t="n">
        <v>4.6</v>
      </c>
      <c r="R536" s="0" t="str">
        <f aca="false">TEXT(K536,"mmm yyyy")</f>
        <v>Feb 2019</v>
      </c>
      <c r="S536" s="14" t="n">
        <f aca="false">HOUR(TIMEVALUE(L536))</f>
        <v>13</v>
      </c>
      <c r="T536" s="0" t="str">
        <f aca="false">IF(S536&lt;12,"Morning",IF(S536&lt;17,"Afternoon","Evening"))</f>
        <v>Afternoon</v>
      </c>
      <c r="U536" s="16" t="n">
        <f aca="false">G536*H536*0.05</f>
        <v>2.034</v>
      </c>
    </row>
    <row r="537" customFormat="false" ht="15" hidden="false" customHeight="false" outlineLevel="0" collapsed="false">
      <c r="A537" s="0" t="s">
        <v>951</v>
      </c>
      <c r="B537" s="0" t="s">
        <v>33</v>
      </c>
      <c r="C537" s="0" t="s">
        <v>65</v>
      </c>
      <c r="D537" s="0" t="s">
        <v>21</v>
      </c>
      <c r="E537" s="0" t="s">
        <v>57</v>
      </c>
      <c r="F537" s="0" t="s">
        <v>36</v>
      </c>
      <c r="G537" s="16" t="n">
        <v>36.96</v>
      </c>
      <c r="H537" s="0" t="n">
        <v>2</v>
      </c>
      <c r="I537" s="16" t="n">
        <f aca="false">G537*H537*0.05</f>
        <v>3.696</v>
      </c>
      <c r="J537" s="16" t="n">
        <f aca="false">G537*H537*1.05</f>
        <v>77.616</v>
      </c>
      <c r="K537" s="17" t="n">
        <v>43512</v>
      </c>
      <c r="L537" s="14" t="s">
        <v>234</v>
      </c>
      <c r="M537" s="14" t="s">
        <v>34</v>
      </c>
      <c r="N537" s="16" t="n">
        <f aca="false">G537*H537</f>
        <v>73.92</v>
      </c>
      <c r="O537" s="18" t="n">
        <v>4.761904762</v>
      </c>
      <c r="P537" s="16" t="n">
        <f aca="false">I537</f>
        <v>3.696</v>
      </c>
      <c r="Q537" s="19" t="n">
        <v>8.5</v>
      </c>
      <c r="R537" s="0" t="str">
        <f aca="false">TEXT(K537,"mmm yyyy")</f>
        <v>Feb 2019</v>
      </c>
      <c r="S537" s="14" t="n">
        <f aca="false">HOUR(TIMEVALUE(L537))</f>
        <v>16</v>
      </c>
      <c r="T537" s="0" t="str">
        <f aca="false">IF(S537&lt;12,"Morning",IF(S537&lt;17,"Afternoon","Evening"))</f>
        <v>Afternoon</v>
      </c>
      <c r="U537" s="16" t="n">
        <f aca="false">G537*H537*0.05</f>
        <v>3.696</v>
      </c>
    </row>
    <row r="538" customFormat="false" ht="15" hidden="false" customHeight="false" outlineLevel="0" collapsed="false">
      <c r="A538" s="0" t="s">
        <v>952</v>
      </c>
      <c r="B538" s="0" t="s">
        <v>29</v>
      </c>
      <c r="C538" s="0" t="s">
        <v>56</v>
      </c>
      <c r="D538" s="0" t="s">
        <v>22</v>
      </c>
      <c r="E538" s="0" t="s">
        <v>60</v>
      </c>
      <c r="F538" s="0" t="s">
        <v>36</v>
      </c>
      <c r="G538" s="16" t="n">
        <v>50.94</v>
      </c>
      <c r="H538" s="0" t="n">
        <v>8</v>
      </c>
      <c r="I538" s="16" t="n">
        <f aca="false">G538*H538*0.05</f>
        <v>20.376</v>
      </c>
      <c r="J538" s="16" t="n">
        <f aca="false">G538*H538*1.05</f>
        <v>427.896</v>
      </c>
      <c r="K538" s="17" t="n">
        <v>43512</v>
      </c>
      <c r="L538" s="14" t="s">
        <v>953</v>
      </c>
      <c r="M538" s="14" t="s">
        <v>30</v>
      </c>
      <c r="N538" s="16" t="n">
        <f aca="false">G538*H538</f>
        <v>407.52</v>
      </c>
      <c r="O538" s="18" t="n">
        <v>4.761904762</v>
      </c>
      <c r="P538" s="16" t="n">
        <f aca="false">I538</f>
        <v>20.376</v>
      </c>
      <c r="Q538" s="19" t="n">
        <v>8.1</v>
      </c>
      <c r="R538" s="0" t="str">
        <f aca="false">TEXT(K538,"mmm yyyy")</f>
        <v>Feb 2019</v>
      </c>
      <c r="S538" s="14" t="n">
        <f aca="false">HOUR(TIMEVALUE(L538))</f>
        <v>10</v>
      </c>
      <c r="T538" s="0" t="str">
        <f aca="false">IF(S538&lt;12,"Morning",IF(S538&lt;17,"Afternoon","Evening"))</f>
        <v>Morning</v>
      </c>
      <c r="U538" s="16" t="n">
        <f aca="false">G538*H538*0.05</f>
        <v>20.376</v>
      </c>
    </row>
    <row r="539" customFormat="false" ht="15" hidden="false" customHeight="false" outlineLevel="0" collapsed="false">
      <c r="A539" s="0" t="s">
        <v>954</v>
      </c>
      <c r="B539" s="0" t="s">
        <v>29</v>
      </c>
      <c r="C539" s="0" t="s">
        <v>56</v>
      </c>
      <c r="D539" s="0" t="s">
        <v>22</v>
      </c>
      <c r="E539" s="0" t="s">
        <v>60</v>
      </c>
      <c r="F539" s="0" t="s">
        <v>36</v>
      </c>
      <c r="G539" s="16" t="n">
        <v>37.86</v>
      </c>
      <c r="H539" s="0" t="n">
        <v>3</v>
      </c>
      <c r="I539" s="16" t="n">
        <f aca="false">G539*H539*0.05</f>
        <v>5.679</v>
      </c>
      <c r="J539" s="16" t="n">
        <f aca="false">G539*H539*1.05</f>
        <v>119.259</v>
      </c>
      <c r="K539" s="17" t="n">
        <v>43512</v>
      </c>
      <c r="L539" s="14" t="s">
        <v>603</v>
      </c>
      <c r="M539" s="14" t="s">
        <v>30</v>
      </c>
      <c r="N539" s="16" t="n">
        <f aca="false">G539*H539</f>
        <v>113.58</v>
      </c>
      <c r="O539" s="18" t="n">
        <v>4.761904762</v>
      </c>
      <c r="P539" s="16" t="n">
        <f aca="false">I539</f>
        <v>5.679</v>
      </c>
      <c r="Q539" s="19" t="n">
        <v>9.1</v>
      </c>
      <c r="R539" s="0" t="str">
        <f aca="false">TEXT(K539,"mmm yyyy")</f>
        <v>Feb 2019</v>
      </c>
      <c r="S539" s="14" t="n">
        <f aca="false">HOUR(TIMEVALUE(L539))</f>
        <v>19</v>
      </c>
      <c r="T539" s="0" t="str">
        <f aca="false">IF(S539&lt;12,"Morning",IF(S539&lt;17,"Afternoon","Evening"))</f>
        <v>Evening</v>
      </c>
      <c r="U539" s="16" t="n">
        <f aca="false">G539*H539*0.05</f>
        <v>5.679</v>
      </c>
    </row>
    <row r="540" customFormat="false" ht="15" hidden="false" customHeight="false" outlineLevel="0" collapsed="false">
      <c r="A540" s="0" t="s">
        <v>955</v>
      </c>
      <c r="B540" s="0" t="s">
        <v>33</v>
      </c>
      <c r="C540" s="0" t="s">
        <v>65</v>
      </c>
      <c r="D540" s="0" t="s">
        <v>21</v>
      </c>
      <c r="E540" s="0" t="s">
        <v>60</v>
      </c>
      <c r="F540" s="0" t="s">
        <v>37</v>
      </c>
      <c r="G540" s="16" t="n">
        <v>66.56</v>
      </c>
      <c r="H540" s="0" t="n">
        <v>8</v>
      </c>
      <c r="I540" s="16" t="n">
        <f aca="false">G540*H540*0.05</f>
        <v>26.624</v>
      </c>
      <c r="J540" s="16" t="n">
        <f aca="false">G540*H540*1.05</f>
        <v>559.104</v>
      </c>
      <c r="K540" s="17" t="n">
        <v>43512</v>
      </c>
      <c r="L540" s="14" t="s">
        <v>537</v>
      </c>
      <c r="M540" s="14" t="s">
        <v>26</v>
      </c>
      <c r="N540" s="16" t="n">
        <f aca="false">G540*H540</f>
        <v>532.48</v>
      </c>
      <c r="O540" s="18" t="n">
        <v>4.761904762</v>
      </c>
      <c r="P540" s="16" t="n">
        <f aca="false">I540</f>
        <v>26.624</v>
      </c>
      <c r="Q540" s="19" t="n">
        <v>6.7</v>
      </c>
      <c r="R540" s="0" t="str">
        <f aca="false">TEXT(K540,"mmm yyyy")</f>
        <v>Feb 2019</v>
      </c>
      <c r="S540" s="14" t="n">
        <f aca="false">HOUR(TIMEVALUE(L540))</f>
        <v>18</v>
      </c>
      <c r="T540" s="0" t="str">
        <f aca="false">IF(S540&lt;12,"Morning",IF(S540&lt;17,"Afternoon","Evening"))</f>
        <v>Evening</v>
      </c>
      <c r="U540" s="16" t="n">
        <f aca="false">G540*H540*0.05</f>
        <v>26.624</v>
      </c>
    </row>
    <row r="541" customFormat="false" ht="15" hidden="false" customHeight="false" outlineLevel="0" collapsed="false">
      <c r="A541" s="0" t="s">
        <v>956</v>
      </c>
      <c r="B541" s="0" t="s">
        <v>25</v>
      </c>
      <c r="C541" s="0" t="s">
        <v>68</v>
      </c>
      <c r="D541" s="0" t="s">
        <v>22</v>
      </c>
      <c r="E541" s="0" t="s">
        <v>60</v>
      </c>
      <c r="F541" s="0" t="s">
        <v>27</v>
      </c>
      <c r="G541" s="16" t="n">
        <v>34.4</v>
      </c>
      <c r="H541" s="0" t="n">
        <v>6</v>
      </c>
      <c r="I541" s="16" t="n">
        <f aca="false">G541*H541*0.05</f>
        <v>10.32</v>
      </c>
      <c r="J541" s="16" t="n">
        <f aca="false">G541*H541*1.05</f>
        <v>216.72</v>
      </c>
      <c r="K541" s="17" t="n">
        <v>43512</v>
      </c>
      <c r="L541" s="14" t="s">
        <v>150</v>
      </c>
      <c r="M541" s="14" t="s">
        <v>26</v>
      </c>
      <c r="N541" s="16" t="n">
        <f aca="false">G541*H541</f>
        <v>206.4</v>
      </c>
      <c r="O541" s="18" t="n">
        <v>4.761904762</v>
      </c>
      <c r="P541" s="16" t="n">
        <f aca="false">I541</f>
        <v>10.32</v>
      </c>
      <c r="Q541" s="19" t="n">
        <v>6.5</v>
      </c>
      <c r="R541" s="0" t="str">
        <f aca="false">TEXT(K541,"mmm yyyy")</f>
        <v>Feb 2019</v>
      </c>
      <c r="S541" s="14" t="n">
        <f aca="false">HOUR(TIMEVALUE(L541))</f>
        <v>10</v>
      </c>
      <c r="T541" s="0" t="str">
        <f aca="false">IF(S541&lt;12,"Morning",IF(S541&lt;17,"Afternoon","Evening"))</f>
        <v>Morning</v>
      </c>
      <c r="U541" s="16" t="n">
        <f aca="false">G541*H541*0.05</f>
        <v>10.32</v>
      </c>
    </row>
    <row r="542" customFormat="false" ht="15" hidden="false" customHeight="false" outlineLevel="0" collapsed="false">
      <c r="A542" s="0" t="s">
        <v>957</v>
      </c>
      <c r="B542" s="0" t="s">
        <v>33</v>
      </c>
      <c r="C542" s="0" t="s">
        <v>65</v>
      </c>
      <c r="D542" s="0" t="s">
        <v>22</v>
      </c>
      <c r="E542" s="0" t="s">
        <v>57</v>
      </c>
      <c r="F542" s="0" t="s">
        <v>23</v>
      </c>
      <c r="G542" s="16" t="n">
        <v>92.72</v>
      </c>
      <c r="H542" s="0" t="n">
        <v>9</v>
      </c>
      <c r="I542" s="16" t="n">
        <f aca="false">G542*H542*0.05</f>
        <v>41.724</v>
      </c>
      <c r="J542" s="16" t="n">
        <f aca="false">G542*H542*1.05</f>
        <v>876.204</v>
      </c>
      <c r="K542" s="17" t="n">
        <v>43513</v>
      </c>
      <c r="L542" s="14" t="s">
        <v>958</v>
      </c>
      <c r="M542" s="14" t="s">
        <v>34</v>
      </c>
      <c r="N542" s="16" t="n">
        <f aca="false">G542*H542</f>
        <v>834.48</v>
      </c>
      <c r="O542" s="18" t="n">
        <v>4.761904762</v>
      </c>
      <c r="P542" s="16" t="n">
        <f aca="false">I542</f>
        <v>41.724</v>
      </c>
      <c r="Q542" s="19" t="n">
        <v>4.4</v>
      </c>
      <c r="R542" s="0" t="str">
        <f aca="false">TEXT(K542,"mmm yyyy")</f>
        <v>Feb 2019</v>
      </c>
      <c r="S542" s="14" t="n">
        <f aca="false">HOUR(TIMEVALUE(L542))</f>
        <v>19</v>
      </c>
      <c r="T542" s="0" t="str">
        <f aca="false">IF(S542&lt;12,"Morning",IF(S542&lt;17,"Afternoon","Evening"))</f>
        <v>Evening</v>
      </c>
      <c r="U542" s="16" t="n">
        <f aca="false">G542*H542*0.05</f>
        <v>41.724</v>
      </c>
    </row>
    <row r="543" customFormat="false" ht="15" hidden="false" customHeight="false" outlineLevel="0" collapsed="false">
      <c r="A543" s="0" t="s">
        <v>959</v>
      </c>
      <c r="B543" s="0" t="s">
        <v>33</v>
      </c>
      <c r="C543" s="0" t="s">
        <v>65</v>
      </c>
      <c r="D543" s="0" t="s">
        <v>21</v>
      </c>
      <c r="E543" s="0" t="s">
        <v>57</v>
      </c>
      <c r="F543" s="0" t="s">
        <v>23</v>
      </c>
      <c r="G543" s="16" t="n">
        <v>34.17</v>
      </c>
      <c r="H543" s="0" t="n">
        <v>2</v>
      </c>
      <c r="I543" s="16" t="n">
        <f aca="false">G543*H543*0.05</f>
        <v>3.417</v>
      </c>
      <c r="J543" s="16" t="n">
        <f aca="false">G543*H543*1.05</f>
        <v>71.757</v>
      </c>
      <c r="K543" s="17" t="n">
        <v>43513</v>
      </c>
      <c r="L543" s="14" t="s">
        <v>960</v>
      </c>
      <c r="M543" s="14" t="s">
        <v>26</v>
      </c>
      <c r="N543" s="16" t="n">
        <f aca="false">G543*H543</f>
        <v>68.34</v>
      </c>
      <c r="O543" s="18" t="n">
        <v>4.761904762</v>
      </c>
      <c r="P543" s="16" t="n">
        <f aca="false">I543</f>
        <v>3.417</v>
      </c>
      <c r="Q543" s="19" t="n">
        <v>7.8</v>
      </c>
      <c r="R543" s="0" t="str">
        <f aca="false">TEXT(K543,"mmm yyyy")</f>
        <v>Feb 2019</v>
      </c>
      <c r="S543" s="14" t="n">
        <f aca="false">HOUR(TIMEVALUE(L543))</f>
        <v>20</v>
      </c>
      <c r="T543" s="0" t="str">
        <f aca="false">IF(S543&lt;12,"Morning",IF(S543&lt;17,"Afternoon","Evening"))</f>
        <v>Evening</v>
      </c>
      <c r="U543" s="16" t="n">
        <f aca="false">G543*H543*0.05</f>
        <v>3.417</v>
      </c>
    </row>
    <row r="544" customFormat="false" ht="15" hidden="false" customHeight="false" outlineLevel="0" collapsed="false">
      <c r="A544" s="0" t="s">
        <v>961</v>
      </c>
      <c r="B544" s="0" t="s">
        <v>29</v>
      </c>
      <c r="C544" s="0" t="s">
        <v>56</v>
      </c>
      <c r="D544" s="0" t="s">
        <v>21</v>
      </c>
      <c r="E544" s="0" t="s">
        <v>60</v>
      </c>
      <c r="F544" s="0" t="s">
        <v>36</v>
      </c>
      <c r="G544" s="16" t="n">
        <v>77.11</v>
      </c>
      <c r="H544" s="0" t="n">
        <v>6</v>
      </c>
      <c r="I544" s="16" t="n">
        <f aca="false">G544*H544*0.05</f>
        <v>23.133</v>
      </c>
      <c r="J544" s="16" t="n">
        <f aca="false">G544*H544*1.05</f>
        <v>485.793</v>
      </c>
      <c r="K544" s="17" t="n">
        <v>43513</v>
      </c>
      <c r="L544" s="14" t="s">
        <v>929</v>
      </c>
      <c r="M544" s="14" t="s">
        <v>26</v>
      </c>
      <c r="N544" s="16" t="n">
        <f aca="false">G544*H544</f>
        <v>462.66</v>
      </c>
      <c r="O544" s="18" t="n">
        <v>4.761904762</v>
      </c>
      <c r="P544" s="16" t="n">
        <f aca="false">I544</f>
        <v>23.133</v>
      </c>
      <c r="Q544" s="19" t="n">
        <v>9.3</v>
      </c>
      <c r="R544" s="0" t="str">
        <f aca="false">TEXT(K544,"mmm yyyy")</f>
        <v>Feb 2019</v>
      </c>
      <c r="S544" s="14" t="n">
        <f aca="false">HOUR(TIMEVALUE(L544))</f>
        <v>15</v>
      </c>
      <c r="T544" s="0" t="str">
        <f aca="false">IF(S544&lt;12,"Morning",IF(S544&lt;17,"Afternoon","Evening"))</f>
        <v>Afternoon</v>
      </c>
      <c r="U544" s="16" t="n">
        <f aca="false">G544*H544*0.05</f>
        <v>23.133</v>
      </c>
    </row>
    <row r="545" customFormat="false" ht="15" hidden="false" customHeight="false" outlineLevel="0" collapsed="false">
      <c r="A545" s="0" t="s">
        <v>962</v>
      </c>
      <c r="B545" s="0" t="s">
        <v>29</v>
      </c>
      <c r="C545" s="0" t="s">
        <v>56</v>
      </c>
      <c r="D545" s="0" t="s">
        <v>22</v>
      </c>
      <c r="E545" s="0" t="s">
        <v>60</v>
      </c>
      <c r="F545" s="0" t="s">
        <v>36</v>
      </c>
      <c r="G545" s="16" t="n">
        <v>32.85</v>
      </c>
      <c r="H545" s="0" t="n">
        <v>9</v>
      </c>
      <c r="I545" s="16" t="n">
        <f aca="false">G545*H545*0.05</f>
        <v>14.7825</v>
      </c>
      <c r="J545" s="16" t="n">
        <f aca="false">G545*H545*1.05</f>
        <v>310.4325</v>
      </c>
      <c r="K545" s="17" t="n">
        <v>43513</v>
      </c>
      <c r="L545" s="14" t="s">
        <v>427</v>
      </c>
      <c r="M545" s="14" t="s">
        <v>26</v>
      </c>
      <c r="N545" s="16" t="n">
        <f aca="false">G545*H545</f>
        <v>295.65</v>
      </c>
      <c r="O545" s="18" t="n">
        <v>4.761904762</v>
      </c>
      <c r="P545" s="16" t="n">
        <f aca="false">I545</f>
        <v>14.7825</v>
      </c>
      <c r="Q545" s="19" t="n">
        <v>8.2</v>
      </c>
      <c r="R545" s="0" t="str">
        <f aca="false">TEXT(K545,"mmm yyyy")</f>
        <v>Feb 2019</v>
      </c>
      <c r="S545" s="14" t="n">
        <f aca="false">HOUR(TIMEVALUE(L545))</f>
        <v>18</v>
      </c>
      <c r="T545" s="0" t="str">
        <f aca="false">IF(S545&lt;12,"Morning",IF(S545&lt;17,"Afternoon","Evening"))</f>
        <v>Evening</v>
      </c>
      <c r="U545" s="16" t="n">
        <f aca="false">G545*H545*0.05</f>
        <v>14.7825</v>
      </c>
    </row>
    <row r="546" customFormat="false" ht="15" hidden="false" customHeight="false" outlineLevel="0" collapsed="false">
      <c r="A546" s="0" t="s">
        <v>963</v>
      </c>
      <c r="B546" s="0" t="s">
        <v>33</v>
      </c>
      <c r="C546" s="0" t="s">
        <v>65</v>
      </c>
      <c r="D546" s="0" t="s">
        <v>21</v>
      </c>
      <c r="E546" s="0" t="s">
        <v>57</v>
      </c>
      <c r="F546" s="0" t="s">
        <v>31</v>
      </c>
      <c r="G546" s="16" t="n">
        <v>38.63</v>
      </c>
      <c r="H546" s="0" t="n">
        <v>7</v>
      </c>
      <c r="I546" s="16" t="n">
        <f aca="false">G546*H546*0.05</f>
        <v>13.5205</v>
      </c>
      <c r="J546" s="16" t="n">
        <f aca="false">G546*H546*1.05</f>
        <v>283.9305</v>
      </c>
      <c r="K546" s="17" t="n">
        <v>43513</v>
      </c>
      <c r="L546" s="14" t="s">
        <v>274</v>
      </c>
      <c r="M546" s="14" t="s">
        <v>34</v>
      </c>
      <c r="N546" s="16" t="n">
        <f aca="false">G546*H546</f>
        <v>270.41</v>
      </c>
      <c r="O546" s="18" t="n">
        <v>4.761904762</v>
      </c>
      <c r="P546" s="16" t="n">
        <f aca="false">I546</f>
        <v>13.5205</v>
      </c>
      <c r="Q546" s="19" t="n">
        <v>5.3</v>
      </c>
      <c r="R546" s="0" t="str">
        <f aca="false">TEXT(K546,"mmm yyyy")</f>
        <v>Feb 2019</v>
      </c>
      <c r="S546" s="14" t="n">
        <f aca="false">HOUR(TIMEVALUE(L546))</f>
        <v>15</v>
      </c>
      <c r="T546" s="0" t="str">
        <f aca="false">IF(S546&lt;12,"Morning",IF(S546&lt;17,"Afternoon","Evening"))</f>
        <v>Afternoon</v>
      </c>
      <c r="U546" s="16" t="n">
        <f aca="false">G546*H546*0.05</f>
        <v>13.5205</v>
      </c>
    </row>
    <row r="547" customFormat="false" ht="15" hidden="false" customHeight="false" outlineLevel="0" collapsed="false">
      <c r="A547" s="0" t="s">
        <v>964</v>
      </c>
      <c r="B547" s="0" t="s">
        <v>25</v>
      </c>
      <c r="C547" s="0" t="s">
        <v>68</v>
      </c>
      <c r="D547" s="0" t="s">
        <v>22</v>
      </c>
      <c r="E547" s="0" t="s">
        <v>57</v>
      </c>
      <c r="F547" s="0" t="s">
        <v>23</v>
      </c>
      <c r="G547" s="16" t="n">
        <v>50.07</v>
      </c>
      <c r="H547" s="0" t="n">
        <v>8</v>
      </c>
      <c r="I547" s="16" t="n">
        <f aca="false">G547*H547*0.05</f>
        <v>20.028</v>
      </c>
      <c r="J547" s="16" t="n">
        <f aca="false">G547*H547*1.05</f>
        <v>420.588</v>
      </c>
      <c r="K547" s="17" t="n">
        <v>43513</v>
      </c>
      <c r="L547" s="14" t="s">
        <v>312</v>
      </c>
      <c r="M547" s="14" t="s">
        <v>26</v>
      </c>
      <c r="N547" s="16" t="n">
        <f aca="false">G547*H547</f>
        <v>400.56</v>
      </c>
      <c r="O547" s="18" t="n">
        <v>4.761904762</v>
      </c>
      <c r="P547" s="16" t="n">
        <f aca="false">I547</f>
        <v>20.028</v>
      </c>
      <c r="Q547" s="19" t="n">
        <v>4.4</v>
      </c>
      <c r="R547" s="0" t="str">
        <f aca="false">TEXT(K547,"mmm yyyy")</f>
        <v>Feb 2019</v>
      </c>
      <c r="S547" s="14" t="n">
        <f aca="false">HOUR(TIMEVALUE(L547))</f>
        <v>18</v>
      </c>
      <c r="T547" s="0" t="str">
        <f aca="false">IF(S547&lt;12,"Morning",IF(S547&lt;17,"Afternoon","Evening"))</f>
        <v>Evening</v>
      </c>
      <c r="U547" s="16" t="n">
        <f aca="false">G547*H547*0.05</f>
        <v>20.028</v>
      </c>
    </row>
    <row r="548" customFormat="false" ht="15" hidden="false" customHeight="false" outlineLevel="0" collapsed="false">
      <c r="A548" s="0" t="s">
        <v>965</v>
      </c>
      <c r="B548" s="0" t="s">
        <v>33</v>
      </c>
      <c r="C548" s="0" t="s">
        <v>65</v>
      </c>
      <c r="D548" s="0" t="s">
        <v>22</v>
      </c>
      <c r="E548" s="0" t="s">
        <v>57</v>
      </c>
      <c r="F548" s="0" t="s">
        <v>31</v>
      </c>
      <c r="G548" s="16" t="n">
        <v>51.4</v>
      </c>
      <c r="H548" s="0" t="n">
        <v>2</v>
      </c>
      <c r="I548" s="16" t="n">
        <f aca="false">G548*H548*0.05</f>
        <v>5.14</v>
      </c>
      <c r="J548" s="16" t="n">
        <f aca="false">G548*H548*1.05</f>
        <v>107.94</v>
      </c>
      <c r="K548" s="17" t="n">
        <v>43514</v>
      </c>
      <c r="L548" s="14" t="s">
        <v>966</v>
      </c>
      <c r="M548" s="14" t="s">
        <v>34</v>
      </c>
      <c r="N548" s="16" t="n">
        <f aca="false">G548*H548</f>
        <v>102.8</v>
      </c>
      <c r="O548" s="18" t="n">
        <v>4.761904762</v>
      </c>
      <c r="P548" s="16" t="n">
        <f aca="false">I548</f>
        <v>5.14</v>
      </c>
      <c r="Q548" s="19" t="n">
        <v>4.5</v>
      </c>
      <c r="R548" s="0" t="str">
        <f aca="false">TEXT(K548,"mmm yyyy")</f>
        <v>Feb 2019</v>
      </c>
      <c r="S548" s="14" t="n">
        <f aca="false">HOUR(TIMEVALUE(L548))</f>
        <v>16</v>
      </c>
      <c r="T548" s="0" t="str">
        <f aca="false">IF(S548&lt;12,"Morning",IF(S548&lt;17,"Afternoon","Evening"))</f>
        <v>Afternoon</v>
      </c>
      <c r="U548" s="16" t="n">
        <f aca="false">G548*H548*0.05</f>
        <v>5.14</v>
      </c>
    </row>
    <row r="549" customFormat="false" ht="15" hidden="false" customHeight="false" outlineLevel="0" collapsed="false">
      <c r="A549" s="0" t="s">
        <v>967</v>
      </c>
      <c r="B549" s="0" t="s">
        <v>25</v>
      </c>
      <c r="C549" s="0" t="s">
        <v>68</v>
      </c>
      <c r="D549" s="0" t="s">
        <v>21</v>
      </c>
      <c r="E549" s="0" t="s">
        <v>60</v>
      </c>
      <c r="F549" s="0" t="s">
        <v>23</v>
      </c>
      <c r="G549" s="16" t="n">
        <v>25.18</v>
      </c>
      <c r="H549" s="0" t="n">
        <v>6</v>
      </c>
      <c r="I549" s="16" t="n">
        <f aca="false">G549*H549*0.05</f>
        <v>7.554</v>
      </c>
      <c r="J549" s="16" t="n">
        <f aca="false">G549*H549*1.05</f>
        <v>158.634</v>
      </c>
      <c r="K549" s="17" t="n">
        <v>43514</v>
      </c>
      <c r="L549" s="14" t="s">
        <v>812</v>
      </c>
      <c r="M549" s="14" t="s">
        <v>26</v>
      </c>
      <c r="N549" s="16" t="n">
        <f aca="false">G549*H549</f>
        <v>151.08</v>
      </c>
      <c r="O549" s="18" t="n">
        <v>4.761904762</v>
      </c>
      <c r="P549" s="16" t="n">
        <f aca="false">I549</f>
        <v>7.554</v>
      </c>
      <c r="Q549" s="19" t="n">
        <v>8.9</v>
      </c>
      <c r="R549" s="0" t="str">
        <f aca="false">TEXT(K549,"mmm yyyy")</f>
        <v>Feb 2019</v>
      </c>
      <c r="S549" s="14" t="n">
        <f aca="false">HOUR(TIMEVALUE(L549))</f>
        <v>10</v>
      </c>
      <c r="T549" s="0" t="str">
        <f aca="false">IF(S549&lt;12,"Morning",IF(S549&lt;17,"Afternoon","Evening"))</f>
        <v>Morning</v>
      </c>
      <c r="U549" s="16" t="n">
        <f aca="false">G549*H549*0.05</f>
        <v>7.554</v>
      </c>
    </row>
    <row r="550" customFormat="false" ht="15" hidden="false" customHeight="false" outlineLevel="0" collapsed="false">
      <c r="A550" s="0" t="s">
        <v>968</v>
      </c>
      <c r="B550" s="0" t="s">
        <v>33</v>
      </c>
      <c r="C550" s="0" t="s">
        <v>65</v>
      </c>
      <c r="D550" s="0" t="s">
        <v>22</v>
      </c>
      <c r="E550" s="0" t="s">
        <v>60</v>
      </c>
      <c r="F550" s="0" t="s">
        <v>36</v>
      </c>
      <c r="G550" s="16" t="n">
        <v>40.57</v>
      </c>
      <c r="H550" s="0" t="n">
        <v>7</v>
      </c>
      <c r="I550" s="16" t="n">
        <f aca="false">G550*H550*0.05</f>
        <v>14.1995</v>
      </c>
      <c r="J550" s="16" t="n">
        <f aca="false">G550*H550*1.05</f>
        <v>298.1895</v>
      </c>
      <c r="K550" s="17" t="n">
        <v>43514</v>
      </c>
      <c r="L550" s="14" t="s">
        <v>444</v>
      </c>
      <c r="M550" s="14" t="s">
        <v>34</v>
      </c>
      <c r="N550" s="16" t="n">
        <f aca="false">G550*H550</f>
        <v>283.99</v>
      </c>
      <c r="O550" s="18" t="n">
        <v>4.761904762</v>
      </c>
      <c r="P550" s="16" t="n">
        <f aca="false">I550</f>
        <v>14.1995</v>
      </c>
      <c r="Q550" s="19" t="n">
        <v>8.7</v>
      </c>
      <c r="R550" s="0" t="str">
        <f aca="false">TEXT(K550,"mmm yyyy")</f>
        <v>Feb 2019</v>
      </c>
      <c r="S550" s="14" t="n">
        <f aca="false">HOUR(TIMEVALUE(L550))</f>
        <v>11</v>
      </c>
      <c r="T550" s="0" t="str">
        <f aca="false">IF(S550&lt;12,"Morning",IF(S550&lt;17,"Afternoon","Evening"))</f>
        <v>Morning</v>
      </c>
      <c r="U550" s="16" t="n">
        <f aca="false">G550*H550*0.05</f>
        <v>14.1995</v>
      </c>
    </row>
    <row r="551" customFormat="false" ht="15" hidden="false" customHeight="false" outlineLevel="0" collapsed="false">
      <c r="A551" s="0" t="s">
        <v>969</v>
      </c>
      <c r="B551" s="0" t="s">
        <v>29</v>
      </c>
      <c r="C551" s="0" t="s">
        <v>56</v>
      </c>
      <c r="D551" s="0" t="s">
        <v>22</v>
      </c>
      <c r="E551" s="0" t="s">
        <v>57</v>
      </c>
      <c r="F551" s="0" t="s">
        <v>31</v>
      </c>
      <c r="G551" s="16" t="n">
        <v>15.52</v>
      </c>
      <c r="H551" s="0" t="n">
        <v>10</v>
      </c>
      <c r="I551" s="16" t="n">
        <f aca="false">G551*H551*0.05</f>
        <v>7.76</v>
      </c>
      <c r="J551" s="16" t="n">
        <f aca="false">G551*H551*1.05</f>
        <v>162.96</v>
      </c>
      <c r="K551" s="17" t="n">
        <v>43514</v>
      </c>
      <c r="L551" s="14" t="s">
        <v>970</v>
      </c>
      <c r="M551" s="14" t="s">
        <v>30</v>
      </c>
      <c r="N551" s="16" t="n">
        <f aca="false">G551*H551</f>
        <v>155.2</v>
      </c>
      <c r="O551" s="18" t="n">
        <v>4.761904762</v>
      </c>
      <c r="P551" s="16" t="n">
        <f aca="false">I551</f>
        <v>7.76</v>
      </c>
      <c r="Q551" s="19" t="n">
        <v>7.1</v>
      </c>
      <c r="R551" s="0" t="str">
        <f aca="false">TEXT(K551,"mmm yyyy")</f>
        <v>Feb 2019</v>
      </c>
      <c r="S551" s="14" t="n">
        <f aca="false">HOUR(TIMEVALUE(L551))</f>
        <v>18</v>
      </c>
      <c r="T551" s="0" t="str">
        <f aca="false">IF(S551&lt;12,"Morning",IF(S551&lt;17,"Afternoon","Evening"))</f>
        <v>Evening</v>
      </c>
      <c r="U551" s="16" t="n">
        <f aca="false">G551*H551*0.05</f>
        <v>7.76</v>
      </c>
    </row>
    <row r="552" customFormat="false" ht="15" hidden="false" customHeight="false" outlineLevel="0" collapsed="false">
      <c r="A552" s="0" t="s">
        <v>971</v>
      </c>
      <c r="B552" s="0" t="s">
        <v>33</v>
      </c>
      <c r="C552" s="0" t="s">
        <v>65</v>
      </c>
      <c r="D552" s="0" t="s">
        <v>22</v>
      </c>
      <c r="E552" s="0" t="s">
        <v>57</v>
      </c>
      <c r="F552" s="0" t="s">
        <v>37</v>
      </c>
      <c r="G552" s="16" t="n">
        <v>90.04</v>
      </c>
      <c r="H552" s="0" t="n">
        <v>4</v>
      </c>
      <c r="I552" s="16" t="n">
        <f aca="false">G552*H552*0.05</f>
        <v>18.008</v>
      </c>
      <c r="J552" s="16" t="n">
        <f aca="false">G552*H552*1.05</f>
        <v>378.168</v>
      </c>
      <c r="K552" s="17" t="n">
        <v>43514</v>
      </c>
      <c r="L552" s="14" t="s">
        <v>174</v>
      </c>
      <c r="M552" s="14" t="s">
        <v>26</v>
      </c>
      <c r="N552" s="16" t="n">
        <f aca="false">G552*H552</f>
        <v>360.16</v>
      </c>
      <c r="O552" s="18" t="n">
        <v>4.761904762</v>
      </c>
      <c r="P552" s="16" t="n">
        <f aca="false">I552</f>
        <v>18.008</v>
      </c>
      <c r="Q552" s="19" t="n">
        <v>4.9</v>
      </c>
      <c r="R552" s="0" t="str">
        <f aca="false">TEXT(K552,"mmm yyyy")</f>
        <v>Feb 2019</v>
      </c>
      <c r="S552" s="14" t="n">
        <f aca="false">HOUR(TIMEVALUE(L552))</f>
        <v>17</v>
      </c>
      <c r="T552" s="0" t="str">
        <f aca="false">IF(S552&lt;12,"Morning",IF(S552&lt;17,"Afternoon","Evening"))</f>
        <v>Evening</v>
      </c>
      <c r="U552" s="16" t="n">
        <f aca="false">G552*H552*0.05</f>
        <v>18.008</v>
      </c>
    </row>
    <row r="553" customFormat="false" ht="15" hidden="false" customHeight="false" outlineLevel="0" collapsed="false">
      <c r="A553" s="0" t="s">
        <v>972</v>
      </c>
      <c r="B553" s="0" t="s">
        <v>33</v>
      </c>
      <c r="C553" s="0" t="s">
        <v>65</v>
      </c>
      <c r="D553" s="0" t="s">
        <v>22</v>
      </c>
      <c r="E553" s="0" t="s">
        <v>60</v>
      </c>
      <c r="F553" s="0" t="s">
        <v>23</v>
      </c>
      <c r="G553" s="16" t="n">
        <v>15.11</v>
      </c>
      <c r="H553" s="0" t="n">
        <v>7</v>
      </c>
      <c r="I553" s="16" t="n">
        <f aca="false">G553*H553*0.05</f>
        <v>5.2885</v>
      </c>
      <c r="J553" s="16" t="n">
        <f aca="false">G553*H553*1.05</f>
        <v>111.0585</v>
      </c>
      <c r="K553" s="17" t="n">
        <v>43514</v>
      </c>
      <c r="L553" s="14" t="s">
        <v>973</v>
      </c>
      <c r="M553" s="14" t="s">
        <v>34</v>
      </c>
      <c r="N553" s="16" t="n">
        <f aca="false">G553*H553</f>
        <v>105.77</v>
      </c>
      <c r="O553" s="18" t="n">
        <v>4.761904762</v>
      </c>
      <c r="P553" s="16" t="n">
        <f aca="false">I553</f>
        <v>5.2885</v>
      </c>
      <c r="Q553" s="19" t="n">
        <v>8.2</v>
      </c>
      <c r="R553" s="0" t="str">
        <f aca="false">TEXT(K553,"mmm yyyy")</f>
        <v>Feb 2019</v>
      </c>
      <c r="S553" s="14" t="n">
        <f aca="false">HOUR(TIMEVALUE(L553))</f>
        <v>11</v>
      </c>
      <c r="T553" s="0" t="str">
        <f aca="false">IF(S553&lt;12,"Morning",IF(S553&lt;17,"Afternoon","Evening"))</f>
        <v>Morning</v>
      </c>
      <c r="U553" s="16" t="n">
        <f aca="false">G553*H553*0.05</f>
        <v>5.2885</v>
      </c>
    </row>
    <row r="554" customFormat="false" ht="15" hidden="false" customHeight="false" outlineLevel="0" collapsed="false">
      <c r="A554" s="0" t="s">
        <v>974</v>
      </c>
      <c r="B554" s="0" t="s">
        <v>25</v>
      </c>
      <c r="C554" s="0" t="s">
        <v>68</v>
      </c>
      <c r="D554" s="0" t="s">
        <v>21</v>
      </c>
      <c r="E554" s="0" t="s">
        <v>57</v>
      </c>
      <c r="F554" s="0" t="s">
        <v>23</v>
      </c>
      <c r="G554" s="16" t="n">
        <v>65.29</v>
      </c>
      <c r="H554" s="0" t="n">
        <v>9</v>
      </c>
      <c r="I554" s="16" t="n">
        <f aca="false">G554*H554*0.05</f>
        <v>29.3805</v>
      </c>
      <c r="J554" s="16" t="n">
        <f aca="false">G554*H554*1.05</f>
        <v>616.9905</v>
      </c>
      <c r="K554" s="17" t="n">
        <v>43514</v>
      </c>
      <c r="L554" s="14" t="s">
        <v>975</v>
      </c>
      <c r="M554" s="14" t="s">
        <v>34</v>
      </c>
      <c r="N554" s="16" t="n">
        <f aca="false">G554*H554</f>
        <v>587.61</v>
      </c>
      <c r="O554" s="18" t="n">
        <v>4.761904762</v>
      </c>
      <c r="P554" s="16" t="n">
        <f aca="false">I554</f>
        <v>29.3805</v>
      </c>
      <c r="Q554" s="19" t="n">
        <v>9.9</v>
      </c>
      <c r="R554" s="0" t="str">
        <f aca="false">TEXT(K554,"mmm yyyy")</f>
        <v>Feb 2019</v>
      </c>
      <c r="S554" s="14" t="n">
        <f aca="false">HOUR(TIMEVALUE(L554))</f>
        <v>17</v>
      </c>
      <c r="T554" s="0" t="str">
        <f aca="false">IF(S554&lt;12,"Morning",IF(S554&lt;17,"Afternoon","Evening"))</f>
        <v>Evening</v>
      </c>
      <c r="U554" s="16" t="n">
        <f aca="false">G554*H554*0.05</f>
        <v>29.3805</v>
      </c>
    </row>
    <row r="555" customFormat="false" ht="15" hidden="false" customHeight="false" outlineLevel="0" collapsed="false">
      <c r="A555" s="0" t="s">
        <v>976</v>
      </c>
      <c r="B555" s="0" t="s">
        <v>25</v>
      </c>
      <c r="C555" s="0" t="s">
        <v>68</v>
      </c>
      <c r="D555" s="0" t="s">
        <v>22</v>
      </c>
      <c r="E555" s="0" t="s">
        <v>60</v>
      </c>
      <c r="F555" s="0" t="s">
        <v>23</v>
      </c>
      <c r="G555" s="16" t="n">
        <v>20.53</v>
      </c>
      <c r="H555" s="0" t="n">
        <v>7</v>
      </c>
      <c r="I555" s="16" t="n">
        <f aca="false">G555*H555*0.05</f>
        <v>7.1855</v>
      </c>
      <c r="J555" s="16" t="n">
        <f aca="false">G555*H555*1.05</f>
        <v>150.8955</v>
      </c>
      <c r="K555" s="17" t="n">
        <v>43514</v>
      </c>
      <c r="L555" s="14" t="s">
        <v>977</v>
      </c>
      <c r="M555" s="14" t="s">
        <v>30</v>
      </c>
      <c r="N555" s="16" t="n">
        <f aca="false">G555*H555</f>
        <v>143.71</v>
      </c>
      <c r="O555" s="18" t="n">
        <v>4.761904762</v>
      </c>
      <c r="P555" s="16" t="n">
        <f aca="false">I555</f>
        <v>7.1855</v>
      </c>
      <c r="Q555" s="19" t="n">
        <v>8.6</v>
      </c>
      <c r="R555" s="0" t="str">
        <f aca="false">TEXT(K555,"mmm yyyy")</f>
        <v>Feb 2019</v>
      </c>
      <c r="S555" s="14" t="n">
        <f aca="false">HOUR(TIMEVALUE(L555))</f>
        <v>18</v>
      </c>
      <c r="T555" s="0" t="str">
        <f aca="false">IF(S555&lt;12,"Morning",IF(S555&lt;17,"Afternoon","Evening"))</f>
        <v>Evening</v>
      </c>
      <c r="U555" s="16" t="n">
        <f aca="false">G555*H555*0.05</f>
        <v>7.1855</v>
      </c>
    </row>
    <row r="556" customFormat="false" ht="15" hidden="false" customHeight="false" outlineLevel="0" collapsed="false">
      <c r="A556" s="0" t="s">
        <v>978</v>
      </c>
      <c r="B556" s="0" t="s">
        <v>25</v>
      </c>
      <c r="C556" s="0" t="s">
        <v>68</v>
      </c>
      <c r="D556" s="0" t="s">
        <v>22</v>
      </c>
      <c r="E556" s="0" t="s">
        <v>57</v>
      </c>
      <c r="F556" s="0" t="s">
        <v>35</v>
      </c>
      <c r="G556" s="16" t="n">
        <v>26.59</v>
      </c>
      <c r="H556" s="0" t="n">
        <v>3</v>
      </c>
      <c r="I556" s="16" t="n">
        <f aca="false">G556*H556*0.05</f>
        <v>3.9885</v>
      </c>
      <c r="J556" s="16" t="n">
        <f aca="false">G556*H556*1.05</f>
        <v>83.7585</v>
      </c>
      <c r="K556" s="17" t="n">
        <v>43514</v>
      </c>
      <c r="L556" s="14" t="s">
        <v>979</v>
      </c>
      <c r="M556" s="14" t="s">
        <v>26</v>
      </c>
      <c r="N556" s="16" t="n">
        <f aca="false">G556*H556</f>
        <v>79.77</v>
      </c>
      <c r="O556" s="18" t="n">
        <v>4.761904762</v>
      </c>
      <c r="P556" s="16" t="n">
        <f aca="false">I556</f>
        <v>3.9885</v>
      </c>
      <c r="Q556" s="19" t="n">
        <v>7</v>
      </c>
      <c r="R556" s="0" t="str">
        <f aca="false">TEXT(K556,"mmm yyyy")</f>
        <v>Feb 2019</v>
      </c>
      <c r="S556" s="14" t="n">
        <f aca="false">HOUR(TIMEVALUE(L556))</f>
        <v>15</v>
      </c>
      <c r="T556" s="0" t="str">
        <f aca="false">IF(S556&lt;12,"Morning",IF(S556&lt;17,"Afternoon","Evening"))</f>
        <v>Afternoon</v>
      </c>
      <c r="U556" s="16" t="n">
        <f aca="false">G556*H556*0.05</f>
        <v>3.9885</v>
      </c>
    </row>
    <row r="557" customFormat="false" ht="15" hidden="false" customHeight="false" outlineLevel="0" collapsed="false">
      <c r="A557" s="0" t="s">
        <v>980</v>
      </c>
      <c r="B557" s="0" t="s">
        <v>25</v>
      </c>
      <c r="C557" s="0" t="s">
        <v>68</v>
      </c>
      <c r="D557" s="0" t="s">
        <v>21</v>
      </c>
      <c r="E557" s="0" t="s">
        <v>60</v>
      </c>
      <c r="F557" s="0" t="s">
        <v>23</v>
      </c>
      <c r="G557" s="16" t="n">
        <v>54.94</v>
      </c>
      <c r="H557" s="0" t="n">
        <v>5</v>
      </c>
      <c r="I557" s="16" t="n">
        <f aca="false">G557*H557*0.05</f>
        <v>13.735</v>
      </c>
      <c r="J557" s="16" t="n">
        <f aca="false">G557*H557*1.05</f>
        <v>288.435</v>
      </c>
      <c r="K557" s="17" t="n">
        <v>43515</v>
      </c>
      <c r="L557" s="14" t="s">
        <v>358</v>
      </c>
      <c r="M557" s="14" t="s">
        <v>34</v>
      </c>
      <c r="N557" s="16" t="n">
        <f aca="false">G557*H557</f>
        <v>274.7</v>
      </c>
      <c r="O557" s="18" t="n">
        <v>4.761904762</v>
      </c>
      <c r="P557" s="16" t="n">
        <f aca="false">I557</f>
        <v>13.735</v>
      </c>
      <c r="Q557" s="19" t="n">
        <v>7.3</v>
      </c>
      <c r="R557" s="0" t="str">
        <f aca="false">TEXT(K557,"mmm yyyy")</f>
        <v>Feb 2019</v>
      </c>
      <c r="S557" s="14" t="n">
        <f aca="false">HOUR(TIMEVALUE(L557))</f>
        <v>19</v>
      </c>
      <c r="T557" s="0" t="str">
        <f aca="false">IF(S557&lt;12,"Morning",IF(S557&lt;17,"Afternoon","Evening"))</f>
        <v>Evening</v>
      </c>
      <c r="U557" s="16" t="n">
        <f aca="false">G557*H557*0.05</f>
        <v>13.735</v>
      </c>
    </row>
    <row r="558" customFormat="false" ht="15" hidden="false" customHeight="false" outlineLevel="0" collapsed="false">
      <c r="A558" s="0" t="s">
        <v>981</v>
      </c>
      <c r="B558" s="0" t="s">
        <v>25</v>
      </c>
      <c r="C558" s="0" t="s">
        <v>68</v>
      </c>
      <c r="D558" s="0" t="s">
        <v>21</v>
      </c>
      <c r="E558" s="0" t="s">
        <v>57</v>
      </c>
      <c r="F558" s="0" t="s">
        <v>31</v>
      </c>
      <c r="G558" s="16" t="n">
        <v>59.77</v>
      </c>
      <c r="H558" s="0" t="n">
        <v>5</v>
      </c>
      <c r="I558" s="16" t="n">
        <f aca="false">G558*H558*0.05</f>
        <v>14.9425</v>
      </c>
      <c r="J558" s="16" t="n">
        <f aca="false">G558*H558*1.05</f>
        <v>313.7925</v>
      </c>
      <c r="K558" s="17" t="n">
        <v>43515</v>
      </c>
      <c r="L558" s="14" t="s">
        <v>982</v>
      </c>
      <c r="M558" s="14" t="s">
        <v>26</v>
      </c>
      <c r="N558" s="16" t="n">
        <f aca="false">G558*H558</f>
        <v>298.85</v>
      </c>
      <c r="O558" s="18" t="n">
        <v>4.761904762</v>
      </c>
      <c r="P558" s="16" t="n">
        <f aca="false">I558</f>
        <v>14.9425</v>
      </c>
      <c r="Q558" s="19" t="n">
        <v>5.6</v>
      </c>
      <c r="R558" s="0" t="str">
        <f aca="false">TEXT(K558,"mmm yyyy")</f>
        <v>Feb 2019</v>
      </c>
      <c r="S558" s="14" t="n">
        <f aca="false">HOUR(TIMEVALUE(L558))</f>
        <v>18</v>
      </c>
      <c r="T558" s="0" t="str">
        <f aca="false">IF(S558&lt;12,"Morning",IF(S558&lt;17,"Afternoon","Evening"))</f>
        <v>Evening</v>
      </c>
      <c r="U558" s="16" t="n">
        <f aca="false">G558*H558*0.05</f>
        <v>14.9425</v>
      </c>
    </row>
    <row r="559" customFormat="false" ht="15" hidden="false" customHeight="false" outlineLevel="0" collapsed="false">
      <c r="A559" s="0" t="s">
        <v>983</v>
      </c>
      <c r="B559" s="0" t="s">
        <v>25</v>
      </c>
      <c r="C559" s="0" t="s">
        <v>68</v>
      </c>
      <c r="D559" s="0" t="s">
        <v>21</v>
      </c>
      <c r="E559" s="0" t="s">
        <v>60</v>
      </c>
      <c r="F559" s="0" t="s">
        <v>36</v>
      </c>
      <c r="G559" s="16" t="n">
        <v>59.74</v>
      </c>
      <c r="H559" s="0" t="n">
        <v>2</v>
      </c>
      <c r="I559" s="16" t="n">
        <f aca="false">G559*H559*0.05</f>
        <v>5.974</v>
      </c>
      <c r="J559" s="16" t="n">
        <f aca="false">G559*H559*1.05</f>
        <v>125.454</v>
      </c>
      <c r="K559" s="17" t="n">
        <v>43515</v>
      </c>
      <c r="L559" s="14" t="s">
        <v>384</v>
      </c>
      <c r="M559" s="14" t="s">
        <v>26</v>
      </c>
      <c r="N559" s="16" t="n">
        <f aca="false">G559*H559</f>
        <v>119.48</v>
      </c>
      <c r="O559" s="18" t="n">
        <v>4.761904762</v>
      </c>
      <c r="P559" s="16" t="n">
        <f aca="false">I559</f>
        <v>5.974</v>
      </c>
      <c r="Q559" s="19" t="n">
        <v>7.4</v>
      </c>
      <c r="R559" s="0" t="str">
        <f aca="false">TEXT(K559,"mmm yyyy")</f>
        <v>Feb 2019</v>
      </c>
      <c r="S559" s="14" t="n">
        <f aca="false">HOUR(TIMEVALUE(L559))</f>
        <v>11</v>
      </c>
      <c r="T559" s="0" t="str">
        <f aca="false">IF(S559&lt;12,"Morning",IF(S559&lt;17,"Afternoon","Evening"))</f>
        <v>Morning</v>
      </c>
      <c r="U559" s="16" t="n">
        <f aca="false">G559*H559*0.05</f>
        <v>5.974</v>
      </c>
    </row>
    <row r="560" customFormat="false" ht="15" hidden="false" customHeight="false" outlineLevel="0" collapsed="false">
      <c r="A560" s="0" t="s">
        <v>984</v>
      </c>
      <c r="B560" s="0" t="s">
        <v>29</v>
      </c>
      <c r="C560" s="0" t="s">
        <v>56</v>
      </c>
      <c r="D560" s="0" t="s">
        <v>21</v>
      </c>
      <c r="E560" s="0" t="s">
        <v>60</v>
      </c>
      <c r="F560" s="0" t="s">
        <v>35</v>
      </c>
      <c r="G560" s="16" t="n">
        <v>26.34</v>
      </c>
      <c r="H560" s="0" t="n">
        <v>9</v>
      </c>
      <c r="I560" s="16" t="n">
        <f aca="false">G560*H560*0.05</f>
        <v>11.853</v>
      </c>
      <c r="J560" s="16" t="n">
        <f aca="false">G560*H560*1.05</f>
        <v>248.913</v>
      </c>
      <c r="K560" s="17" t="n">
        <v>43515</v>
      </c>
      <c r="L560" s="14" t="s">
        <v>718</v>
      </c>
      <c r="M560" s="14" t="s">
        <v>34</v>
      </c>
      <c r="N560" s="16" t="n">
        <f aca="false">G560*H560</f>
        <v>237.06</v>
      </c>
      <c r="O560" s="18" t="n">
        <v>4.761904762</v>
      </c>
      <c r="P560" s="16" t="n">
        <f aca="false">I560</f>
        <v>11.853</v>
      </c>
      <c r="Q560" s="19" t="n">
        <v>6.5</v>
      </c>
      <c r="R560" s="0" t="str">
        <f aca="false">TEXT(K560,"mmm yyyy")</f>
        <v>Feb 2019</v>
      </c>
      <c r="S560" s="14" t="n">
        <f aca="false">HOUR(TIMEVALUE(L560))</f>
        <v>18</v>
      </c>
      <c r="T560" s="0" t="str">
        <f aca="false">IF(S560&lt;12,"Morning",IF(S560&lt;17,"Afternoon","Evening"))</f>
        <v>Evening</v>
      </c>
      <c r="U560" s="16" t="n">
        <f aca="false">G560*H560*0.05</f>
        <v>11.853</v>
      </c>
    </row>
    <row r="561" customFormat="false" ht="15" hidden="false" customHeight="false" outlineLevel="0" collapsed="false">
      <c r="A561" s="0" t="s">
        <v>985</v>
      </c>
      <c r="B561" s="0" t="s">
        <v>25</v>
      </c>
      <c r="C561" s="0" t="s">
        <v>68</v>
      </c>
      <c r="D561" s="0" t="s">
        <v>22</v>
      </c>
      <c r="E561" s="0" t="s">
        <v>57</v>
      </c>
      <c r="F561" s="0" t="s">
        <v>31</v>
      </c>
      <c r="G561" s="16" t="n">
        <v>10.24</v>
      </c>
      <c r="H561" s="0" t="n">
        <v>6</v>
      </c>
      <c r="I561" s="16" t="n">
        <f aca="false">G561*H561*0.05</f>
        <v>3.072</v>
      </c>
      <c r="J561" s="16" t="n">
        <f aca="false">G561*H561*1.05</f>
        <v>64.512</v>
      </c>
      <c r="K561" s="17" t="n">
        <v>43515</v>
      </c>
      <c r="L561" s="14" t="s">
        <v>522</v>
      </c>
      <c r="M561" s="14" t="s">
        <v>26</v>
      </c>
      <c r="N561" s="16" t="n">
        <f aca="false">G561*H561</f>
        <v>61.44</v>
      </c>
      <c r="O561" s="18" t="n">
        <v>4.761904762</v>
      </c>
      <c r="P561" s="16" t="n">
        <f aca="false">I561</f>
        <v>3.072</v>
      </c>
      <c r="Q561" s="19" t="n">
        <v>9.4</v>
      </c>
      <c r="R561" s="0" t="str">
        <f aca="false">TEXT(K561,"mmm yyyy")</f>
        <v>Feb 2019</v>
      </c>
      <c r="S561" s="14" t="n">
        <f aca="false">HOUR(TIMEVALUE(L561))</f>
        <v>20</v>
      </c>
      <c r="T561" s="0" t="str">
        <f aca="false">IF(S561&lt;12,"Morning",IF(S561&lt;17,"Afternoon","Evening"))</f>
        <v>Evening</v>
      </c>
      <c r="U561" s="16" t="n">
        <f aca="false">G561*H561*0.05</f>
        <v>3.072</v>
      </c>
    </row>
    <row r="562" customFormat="false" ht="15" hidden="false" customHeight="false" outlineLevel="0" collapsed="false">
      <c r="A562" s="0" t="s">
        <v>986</v>
      </c>
      <c r="B562" s="0" t="s">
        <v>33</v>
      </c>
      <c r="C562" s="0" t="s">
        <v>65</v>
      </c>
      <c r="D562" s="0" t="s">
        <v>22</v>
      </c>
      <c r="E562" s="0" t="s">
        <v>57</v>
      </c>
      <c r="F562" s="0" t="s">
        <v>35</v>
      </c>
      <c r="G562" s="16" t="n">
        <v>43.89</v>
      </c>
      <c r="H562" s="0" t="n">
        <v>9</v>
      </c>
      <c r="I562" s="16" t="n">
        <f aca="false">G562*H562*0.05</f>
        <v>19.7505</v>
      </c>
      <c r="J562" s="16" t="n">
        <f aca="false">G562*H562*1.05</f>
        <v>414.7605</v>
      </c>
      <c r="K562" s="17" t="n">
        <v>43515</v>
      </c>
      <c r="L562" s="14" t="s">
        <v>987</v>
      </c>
      <c r="M562" s="14" t="s">
        <v>30</v>
      </c>
      <c r="N562" s="16" t="n">
        <f aca="false">G562*H562</f>
        <v>395.01</v>
      </c>
      <c r="O562" s="18" t="n">
        <v>4.761904762</v>
      </c>
      <c r="P562" s="16" t="n">
        <f aca="false">I562</f>
        <v>19.7505</v>
      </c>
      <c r="Q562" s="19" t="n">
        <v>6.3</v>
      </c>
      <c r="R562" s="0" t="str">
        <f aca="false">TEXT(K562,"mmm yyyy")</f>
        <v>Feb 2019</v>
      </c>
      <c r="S562" s="14" t="n">
        <f aca="false">HOUR(TIMEVALUE(L562))</f>
        <v>11</v>
      </c>
      <c r="T562" s="0" t="str">
        <f aca="false">IF(S562&lt;12,"Morning",IF(S562&lt;17,"Afternoon","Evening"))</f>
        <v>Morning</v>
      </c>
      <c r="U562" s="16" t="n">
        <f aca="false">G562*H562*0.05</f>
        <v>19.7505</v>
      </c>
    </row>
    <row r="563" customFormat="false" ht="15" hidden="false" customHeight="false" outlineLevel="0" collapsed="false">
      <c r="A563" s="0" t="s">
        <v>988</v>
      </c>
      <c r="B563" s="0" t="s">
        <v>25</v>
      </c>
      <c r="C563" s="0" t="s">
        <v>68</v>
      </c>
      <c r="D563" s="0" t="s">
        <v>22</v>
      </c>
      <c r="E563" s="0" t="s">
        <v>60</v>
      </c>
      <c r="F563" s="0" t="s">
        <v>23</v>
      </c>
      <c r="G563" s="16" t="n">
        <v>63.8</v>
      </c>
      <c r="H563" s="0" t="n">
        <v>7</v>
      </c>
      <c r="I563" s="16" t="n">
        <f aca="false">G563*H563*0.05</f>
        <v>22.33</v>
      </c>
      <c r="J563" s="16" t="n">
        <f aca="false">G563*H563*1.05</f>
        <v>468.93</v>
      </c>
      <c r="K563" s="17" t="n">
        <v>43515</v>
      </c>
      <c r="L563" s="14" t="s">
        <v>200</v>
      </c>
      <c r="M563" s="14" t="s">
        <v>34</v>
      </c>
      <c r="N563" s="16" t="n">
        <f aca="false">G563*H563</f>
        <v>446.6</v>
      </c>
      <c r="O563" s="18" t="n">
        <v>4.761904762</v>
      </c>
      <c r="P563" s="16" t="n">
        <f aca="false">I563</f>
        <v>22.33</v>
      </c>
      <c r="Q563" s="19" t="n">
        <v>6.7</v>
      </c>
      <c r="R563" s="0" t="str">
        <f aca="false">TEXT(K563,"mmm yyyy")</f>
        <v>Feb 2019</v>
      </c>
      <c r="S563" s="14" t="n">
        <f aca="false">HOUR(TIMEVALUE(L563))</f>
        <v>12</v>
      </c>
      <c r="T563" s="0" t="str">
        <f aca="false">IF(S563&lt;12,"Morning",IF(S563&lt;17,"Afternoon","Evening"))</f>
        <v>Afternoon</v>
      </c>
      <c r="U563" s="16" t="n">
        <f aca="false">G563*H563*0.05</f>
        <v>22.33</v>
      </c>
    </row>
    <row r="564" customFormat="false" ht="15" hidden="false" customHeight="false" outlineLevel="0" collapsed="false">
      <c r="A564" s="0" t="s">
        <v>989</v>
      </c>
      <c r="B564" s="0" t="s">
        <v>33</v>
      </c>
      <c r="C564" s="0" t="s">
        <v>65</v>
      </c>
      <c r="D564" s="0" t="s">
        <v>22</v>
      </c>
      <c r="E564" s="0" t="s">
        <v>60</v>
      </c>
      <c r="F564" s="0" t="s">
        <v>35</v>
      </c>
      <c r="G564" s="16" t="n">
        <v>33.19</v>
      </c>
      <c r="H564" s="0" t="n">
        <v>1</v>
      </c>
      <c r="I564" s="16" t="n">
        <f aca="false">G564*H564*0.05</f>
        <v>1.6595</v>
      </c>
      <c r="J564" s="16" t="n">
        <f aca="false">G564*H564*1.05</f>
        <v>34.8495</v>
      </c>
      <c r="K564" s="17" t="n">
        <v>43515</v>
      </c>
      <c r="L564" s="14" t="s">
        <v>990</v>
      </c>
      <c r="M564" s="14" t="s">
        <v>26</v>
      </c>
      <c r="N564" s="16" t="n">
        <f aca="false">G564*H564</f>
        <v>33.19</v>
      </c>
      <c r="O564" s="18" t="n">
        <v>4.761904762</v>
      </c>
      <c r="P564" s="16" t="n">
        <f aca="false">I564</f>
        <v>1.6595</v>
      </c>
      <c r="Q564" s="19" t="n">
        <v>4.6</v>
      </c>
      <c r="R564" s="0" t="str">
        <f aca="false">TEXT(K564,"mmm yyyy")</f>
        <v>Feb 2019</v>
      </c>
      <c r="S564" s="14" t="n">
        <f aca="false">HOUR(TIMEVALUE(L564))</f>
        <v>11</v>
      </c>
      <c r="T564" s="0" t="str">
        <f aca="false">IF(S564&lt;12,"Morning",IF(S564&lt;17,"Afternoon","Evening"))</f>
        <v>Morning</v>
      </c>
      <c r="U564" s="16" t="n">
        <f aca="false">G564*H564*0.05</f>
        <v>1.6595</v>
      </c>
    </row>
    <row r="565" customFormat="false" ht="15" hidden="false" customHeight="false" outlineLevel="0" collapsed="false">
      <c r="A565" s="0" t="s">
        <v>991</v>
      </c>
      <c r="B565" s="0" t="s">
        <v>25</v>
      </c>
      <c r="C565" s="0" t="s">
        <v>68</v>
      </c>
      <c r="D565" s="0" t="s">
        <v>21</v>
      </c>
      <c r="E565" s="0" t="s">
        <v>60</v>
      </c>
      <c r="F565" s="0" t="s">
        <v>37</v>
      </c>
      <c r="G565" s="16" t="n">
        <v>12.79</v>
      </c>
      <c r="H565" s="0" t="n">
        <v>5</v>
      </c>
      <c r="I565" s="16" t="n">
        <f aca="false">G565*H565*0.05</f>
        <v>3.1975</v>
      </c>
      <c r="J565" s="16" t="n">
        <f aca="false">G565*H565*1.05</f>
        <v>67.1475</v>
      </c>
      <c r="K565" s="17" t="n">
        <v>43515</v>
      </c>
      <c r="L565" s="14" t="s">
        <v>992</v>
      </c>
      <c r="M565" s="14" t="s">
        <v>34</v>
      </c>
      <c r="N565" s="16" t="n">
        <f aca="false">G565*H565</f>
        <v>63.95</v>
      </c>
      <c r="O565" s="18" t="n">
        <v>4.761904762</v>
      </c>
      <c r="P565" s="16" t="n">
        <f aca="false">I565</f>
        <v>3.1975</v>
      </c>
      <c r="Q565" s="19" t="n">
        <v>9.3</v>
      </c>
      <c r="R565" s="0" t="str">
        <f aca="false">TEXT(K565,"mmm yyyy")</f>
        <v>Feb 2019</v>
      </c>
      <c r="S565" s="14" t="n">
        <f aca="false">HOUR(TIMEVALUE(L565))</f>
        <v>15</v>
      </c>
      <c r="T565" s="0" t="str">
        <f aca="false">IF(S565&lt;12,"Morning",IF(S565&lt;17,"Afternoon","Evening"))</f>
        <v>Afternoon</v>
      </c>
      <c r="U565" s="16" t="n">
        <f aca="false">G565*H565*0.05</f>
        <v>3.1975</v>
      </c>
    </row>
    <row r="566" customFormat="false" ht="15" hidden="false" customHeight="false" outlineLevel="0" collapsed="false">
      <c r="A566" s="0" t="s">
        <v>993</v>
      </c>
      <c r="B566" s="0" t="s">
        <v>29</v>
      </c>
      <c r="C566" s="0" t="s">
        <v>56</v>
      </c>
      <c r="D566" s="0" t="s">
        <v>21</v>
      </c>
      <c r="E566" s="0" t="s">
        <v>60</v>
      </c>
      <c r="F566" s="0" t="s">
        <v>27</v>
      </c>
      <c r="G566" s="16" t="n">
        <v>28.83</v>
      </c>
      <c r="H566" s="0" t="n">
        <v>9</v>
      </c>
      <c r="I566" s="16" t="n">
        <f aca="false">G566*H566*0.05</f>
        <v>12.9735</v>
      </c>
      <c r="J566" s="16" t="n">
        <f aca="false">G566*H566*1.05</f>
        <v>272.4435</v>
      </c>
      <c r="K566" s="17" t="n">
        <v>43515</v>
      </c>
      <c r="L566" s="14" t="s">
        <v>467</v>
      </c>
      <c r="M566" s="14" t="s">
        <v>34</v>
      </c>
      <c r="N566" s="16" t="n">
        <f aca="false">G566*H566</f>
        <v>259.47</v>
      </c>
      <c r="O566" s="18" t="n">
        <v>4.761904762</v>
      </c>
      <c r="P566" s="16" t="n">
        <f aca="false">I566</f>
        <v>12.9735</v>
      </c>
      <c r="Q566" s="19" t="n">
        <v>5.1</v>
      </c>
      <c r="R566" s="0" t="str">
        <f aca="false">TEXT(K566,"mmm yyyy")</f>
        <v>Feb 2019</v>
      </c>
      <c r="S566" s="14" t="n">
        <f aca="false">HOUR(TIMEVALUE(L566))</f>
        <v>12</v>
      </c>
      <c r="T566" s="0" t="str">
        <f aca="false">IF(S566&lt;12,"Morning",IF(S566&lt;17,"Afternoon","Evening"))</f>
        <v>Afternoon</v>
      </c>
      <c r="U566" s="16" t="n">
        <f aca="false">G566*H566*0.05</f>
        <v>12.9735</v>
      </c>
    </row>
    <row r="567" customFormat="false" ht="15" hidden="false" customHeight="false" outlineLevel="0" collapsed="false">
      <c r="A567" s="0" t="s">
        <v>994</v>
      </c>
      <c r="B567" s="0" t="s">
        <v>29</v>
      </c>
      <c r="C567" s="0" t="s">
        <v>56</v>
      </c>
      <c r="D567" s="0" t="s">
        <v>22</v>
      </c>
      <c r="E567" s="0" t="s">
        <v>60</v>
      </c>
      <c r="F567" s="0" t="s">
        <v>37</v>
      </c>
      <c r="G567" s="16" t="n">
        <v>24.43</v>
      </c>
      <c r="H567" s="0" t="n">
        <v>1</v>
      </c>
      <c r="I567" s="16" t="n">
        <f aca="false">G567*H567*0.05</f>
        <v>1.2215</v>
      </c>
      <c r="J567" s="16" t="n">
        <f aca="false">G567*H567*1.05</f>
        <v>25.6515</v>
      </c>
      <c r="K567" s="17" t="n">
        <v>43515</v>
      </c>
      <c r="L567" s="14" t="s">
        <v>893</v>
      </c>
      <c r="M567" s="14" t="s">
        <v>30</v>
      </c>
      <c r="N567" s="16" t="n">
        <f aca="false">G567*H567</f>
        <v>24.43</v>
      </c>
      <c r="O567" s="18" t="n">
        <v>4.761904762</v>
      </c>
      <c r="P567" s="16" t="n">
        <f aca="false">I567</f>
        <v>1.2215</v>
      </c>
      <c r="Q567" s="19" t="n">
        <v>4.1</v>
      </c>
      <c r="R567" s="0" t="str">
        <f aca="false">TEXT(K567,"mmm yyyy")</f>
        <v>Feb 2019</v>
      </c>
      <c r="S567" s="14" t="n">
        <f aca="false">HOUR(TIMEVALUE(L567))</f>
        <v>16</v>
      </c>
      <c r="T567" s="0" t="str">
        <f aca="false">IF(S567&lt;12,"Morning",IF(S567&lt;17,"Afternoon","Evening"))</f>
        <v>Afternoon</v>
      </c>
      <c r="U567" s="16" t="n">
        <f aca="false">G567*H567*0.05</f>
        <v>1.2215</v>
      </c>
    </row>
    <row r="568" customFormat="false" ht="15" hidden="false" customHeight="false" outlineLevel="0" collapsed="false">
      <c r="A568" s="0" t="s">
        <v>995</v>
      </c>
      <c r="B568" s="0" t="s">
        <v>25</v>
      </c>
      <c r="C568" s="0" t="s">
        <v>68</v>
      </c>
      <c r="D568" s="0" t="s">
        <v>21</v>
      </c>
      <c r="E568" s="0" t="s">
        <v>57</v>
      </c>
      <c r="F568" s="0" t="s">
        <v>35</v>
      </c>
      <c r="G568" s="16" t="n">
        <v>22.45</v>
      </c>
      <c r="H568" s="0" t="n">
        <v>3</v>
      </c>
      <c r="I568" s="16" t="n">
        <f aca="false">G568*H568*0.05</f>
        <v>3.3675</v>
      </c>
      <c r="J568" s="16" t="n">
        <f aca="false">G568*H568*1.05</f>
        <v>70.7175</v>
      </c>
      <c r="K568" s="17" t="n">
        <v>43515</v>
      </c>
      <c r="L568" s="14" t="s">
        <v>138</v>
      </c>
      <c r="M568" s="14" t="s">
        <v>34</v>
      </c>
      <c r="N568" s="16" t="n">
        <f aca="false">G568*H568</f>
        <v>67.35</v>
      </c>
      <c r="O568" s="18" t="n">
        <v>4.761904762</v>
      </c>
      <c r="P568" s="16" t="n">
        <f aca="false">I568</f>
        <v>3.3675</v>
      </c>
      <c r="Q568" s="19" t="n">
        <v>7.7</v>
      </c>
      <c r="R568" s="0" t="str">
        <f aca="false">TEXT(K568,"mmm yyyy")</f>
        <v>Feb 2019</v>
      </c>
      <c r="S568" s="14" t="n">
        <f aca="false">HOUR(TIMEVALUE(L568))</f>
        <v>11</v>
      </c>
      <c r="T568" s="0" t="str">
        <f aca="false">IF(S568&lt;12,"Morning",IF(S568&lt;17,"Afternoon","Evening"))</f>
        <v>Morning</v>
      </c>
      <c r="U568" s="16" t="n">
        <f aca="false">G568*H568*0.05</f>
        <v>3.3675</v>
      </c>
    </row>
    <row r="569" customFormat="false" ht="15" hidden="false" customHeight="false" outlineLevel="0" collapsed="false">
      <c r="A569" s="0" t="s">
        <v>996</v>
      </c>
      <c r="B569" s="0" t="s">
        <v>29</v>
      </c>
      <c r="C569" s="0" t="s">
        <v>56</v>
      </c>
      <c r="D569" s="0" t="s">
        <v>22</v>
      </c>
      <c r="E569" s="0" t="s">
        <v>57</v>
      </c>
      <c r="F569" s="0" t="s">
        <v>23</v>
      </c>
      <c r="G569" s="16" t="n">
        <v>35.25</v>
      </c>
      <c r="H569" s="0" t="n">
        <v>5</v>
      </c>
      <c r="I569" s="16" t="n">
        <f aca="false">G569*H569*0.05</f>
        <v>8.8125</v>
      </c>
      <c r="J569" s="16" t="n">
        <f aca="false">G569*H569*1.05</f>
        <v>185.0625</v>
      </c>
      <c r="K569" s="17" t="n">
        <v>43515</v>
      </c>
      <c r="L569" s="14" t="s">
        <v>368</v>
      </c>
      <c r="M569" s="14" t="s">
        <v>30</v>
      </c>
      <c r="N569" s="16" t="n">
        <f aca="false">G569*H569</f>
        <v>176.25</v>
      </c>
      <c r="O569" s="18" t="n">
        <v>4.761904762</v>
      </c>
      <c r="P569" s="16" t="n">
        <f aca="false">I569</f>
        <v>8.8125</v>
      </c>
      <c r="Q569" s="19" t="n">
        <v>7.8</v>
      </c>
      <c r="R569" s="0" t="str">
        <f aca="false">TEXT(K569,"mmm yyyy")</f>
        <v>Feb 2019</v>
      </c>
      <c r="S569" s="14" t="n">
        <f aca="false">HOUR(TIMEVALUE(L569))</f>
        <v>11</v>
      </c>
      <c r="T569" s="0" t="str">
        <f aca="false">IF(S569&lt;12,"Morning",IF(S569&lt;17,"Afternoon","Evening"))</f>
        <v>Morning</v>
      </c>
      <c r="U569" s="16" t="n">
        <f aca="false">G569*H569*0.05</f>
        <v>8.8125</v>
      </c>
    </row>
    <row r="570" customFormat="false" ht="15" hidden="false" customHeight="false" outlineLevel="0" collapsed="false">
      <c r="A570" s="0" t="s">
        <v>997</v>
      </c>
      <c r="B570" s="0" t="s">
        <v>33</v>
      </c>
      <c r="C570" s="0" t="s">
        <v>65</v>
      </c>
      <c r="D570" s="0" t="s">
        <v>21</v>
      </c>
      <c r="E570" s="0" t="s">
        <v>60</v>
      </c>
      <c r="F570" s="0" t="s">
        <v>35</v>
      </c>
      <c r="G570" s="16" t="n">
        <v>72.76</v>
      </c>
      <c r="H570" s="0" t="n">
        <v>9</v>
      </c>
      <c r="I570" s="16" t="n">
        <f aca="false">G570*H570*0.05</f>
        <v>32.742</v>
      </c>
      <c r="J570" s="16" t="n">
        <f aca="false">G570*H570*1.05</f>
        <v>687.582</v>
      </c>
      <c r="K570" s="17" t="n">
        <v>43516</v>
      </c>
      <c r="L570" s="14" t="s">
        <v>731</v>
      </c>
      <c r="M570" s="14" t="s">
        <v>30</v>
      </c>
      <c r="N570" s="16" t="n">
        <f aca="false">G570*H570</f>
        <v>654.84</v>
      </c>
      <c r="O570" s="18" t="n">
        <v>4.761904762</v>
      </c>
      <c r="P570" s="16" t="n">
        <f aca="false">I570</f>
        <v>32.742</v>
      </c>
      <c r="Q570" s="19" t="n">
        <v>4.8</v>
      </c>
      <c r="R570" s="0" t="str">
        <f aca="false">TEXT(K570,"mmm yyyy")</f>
        <v>Feb 2019</v>
      </c>
      <c r="S570" s="14" t="n">
        <f aca="false">HOUR(TIMEVALUE(L570))</f>
        <v>11</v>
      </c>
      <c r="T570" s="0" t="str">
        <f aca="false">IF(S570&lt;12,"Morning",IF(S570&lt;17,"Afternoon","Evening"))</f>
        <v>Morning</v>
      </c>
      <c r="U570" s="16" t="n">
        <f aca="false">G570*H570*0.05</f>
        <v>32.742</v>
      </c>
    </row>
    <row r="571" customFormat="false" ht="15" hidden="false" customHeight="false" outlineLevel="0" collapsed="false">
      <c r="A571" s="0" t="s">
        <v>998</v>
      </c>
      <c r="B571" s="0" t="s">
        <v>29</v>
      </c>
      <c r="C571" s="0" t="s">
        <v>56</v>
      </c>
      <c r="D571" s="0" t="s">
        <v>22</v>
      </c>
      <c r="E571" s="0" t="s">
        <v>60</v>
      </c>
      <c r="F571" s="0" t="s">
        <v>35</v>
      </c>
      <c r="G571" s="16" t="n">
        <v>95.79</v>
      </c>
      <c r="H571" s="0" t="n">
        <v>2</v>
      </c>
      <c r="I571" s="16" t="n">
        <f aca="false">G571*H571*0.05</f>
        <v>9.579</v>
      </c>
      <c r="J571" s="16" t="n">
        <f aca="false">G571*H571*1.05</f>
        <v>201.159</v>
      </c>
      <c r="K571" s="17" t="n">
        <v>43516</v>
      </c>
      <c r="L571" s="14" t="s">
        <v>230</v>
      </c>
      <c r="M571" s="14" t="s">
        <v>34</v>
      </c>
      <c r="N571" s="16" t="n">
        <f aca="false">G571*H571</f>
        <v>191.58</v>
      </c>
      <c r="O571" s="18" t="n">
        <v>4.761904762</v>
      </c>
      <c r="P571" s="16" t="n">
        <f aca="false">I571</f>
        <v>9.579</v>
      </c>
      <c r="Q571" s="19" t="n">
        <v>4.1</v>
      </c>
      <c r="R571" s="0" t="str">
        <f aca="false">TEXT(K571,"mmm yyyy")</f>
        <v>Feb 2019</v>
      </c>
      <c r="S571" s="14" t="n">
        <f aca="false">HOUR(TIMEVALUE(L571))</f>
        <v>20</v>
      </c>
      <c r="T571" s="0" t="str">
        <f aca="false">IF(S571&lt;12,"Morning",IF(S571&lt;17,"Afternoon","Evening"))</f>
        <v>Evening</v>
      </c>
      <c r="U571" s="16" t="n">
        <f aca="false">G571*H571*0.05</f>
        <v>9.579</v>
      </c>
    </row>
    <row r="572" customFormat="false" ht="15" hidden="false" customHeight="false" outlineLevel="0" collapsed="false">
      <c r="A572" s="0" t="s">
        <v>999</v>
      </c>
      <c r="B572" s="0" t="s">
        <v>33</v>
      </c>
      <c r="C572" s="0" t="s">
        <v>65</v>
      </c>
      <c r="D572" s="0" t="s">
        <v>21</v>
      </c>
      <c r="E572" s="0" t="s">
        <v>60</v>
      </c>
      <c r="F572" s="0" t="s">
        <v>31</v>
      </c>
      <c r="G572" s="16" t="n">
        <v>85.23</v>
      </c>
      <c r="H572" s="0" t="n">
        <v>7</v>
      </c>
      <c r="I572" s="16" t="n">
        <f aca="false">G572*H572*0.05</f>
        <v>29.8305</v>
      </c>
      <c r="J572" s="16" t="n">
        <f aca="false">G572*H572*1.05</f>
        <v>626.4405</v>
      </c>
      <c r="K572" s="17" t="n">
        <v>43516</v>
      </c>
      <c r="L572" s="14" t="s">
        <v>312</v>
      </c>
      <c r="M572" s="14" t="s">
        <v>30</v>
      </c>
      <c r="N572" s="16" t="n">
        <f aca="false">G572*H572</f>
        <v>596.61</v>
      </c>
      <c r="O572" s="18" t="n">
        <v>4.761904762</v>
      </c>
      <c r="P572" s="16" t="n">
        <f aca="false">I572</f>
        <v>29.8305</v>
      </c>
      <c r="Q572" s="19" t="n">
        <v>8.3</v>
      </c>
      <c r="R572" s="0" t="str">
        <f aca="false">TEXT(K572,"mmm yyyy")</f>
        <v>Feb 2019</v>
      </c>
      <c r="S572" s="14" t="n">
        <f aca="false">HOUR(TIMEVALUE(L572))</f>
        <v>18</v>
      </c>
      <c r="T572" s="0" t="str">
        <f aca="false">IF(S572&lt;12,"Morning",IF(S572&lt;17,"Afternoon","Evening"))</f>
        <v>Evening</v>
      </c>
      <c r="U572" s="16" t="n">
        <f aca="false">G572*H572*0.05</f>
        <v>29.8305</v>
      </c>
    </row>
    <row r="573" customFormat="false" ht="15" hidden="false" customHeight="false" outlineLevel="0" collapsed="false">
      <c r="A573" s="0" t="s">
        <v>1000</v>
      </c>
      <c r="B573" s="0" t="s">
        <v>33</v>
      </c>
      <c r="C573" s="0" t="s">
        <v>65</v>
      </c>
      <c r="D573" s="0" t="s">
        <v>21</v>
      </c>
      <c r="E573" s="0" t="s">
        <v>57</v>
      </c>
      <c r="F573" s="0" t="s">
        <v>36</v>
      </c>
      <c r="G573" s="16" t="n">
        <v>45.28</v>
      </c>
      <c r="H573" s="0" t="n">
        <v>2</v>
      </c>
      <c r="I573" s="16" t="n">
        <f aca="false">G573*H573*0.05</f>
        <v>4.528</v>
      </c>
      <c r="J573" s="16" t="n">
        <f aca="false">G573*H573*1.05</f>
        <v>95.088</v>
      </c>
      <c r="K573" s="17" t="n">
        <v>43516</v>
      </c>
      <c r="L573" s="14" t="s">
        <v>1001</v>
      </c>
      <c r="M573" s="14" t="s">
        <v>26</v>
      </c>
      <c r="N573" s="16" t="n">
        <f aca="false">G573*H573</f>
        <v>90.56</v>
      </c>
      <c r="O573" s="18" t="n">
        <v>4.761904762</v>
      </c>
      <c r="P573" s="16" t="n">
        <f aca="false">I573</f>
        <v>4.528</v>
      </c>
      <c r="Q573" s="19" t="n">
        <v>9.2</v>
      </c>
      <c r="R573" s="0" t="str">
        <f aca="false">TEXT(K573,"mmm yyyy")</f>
        <v>Feb 2019</v>
      </c>
      <c r="S573" s="14" t="n">
        <f aca="false">HOUR(TIMEVALUE(L573))</f>
        <v>10</v>
      </c>
      <c r="T573" s="0" t="str">
        <f aca="false">IF(S573&lt;12,"Morning",IF(S573&lt;17,"Afternoon","Evening"))</f>
        <v>Morning</v>
      </c>
      <c r="U573" s="16" t="n">
        <f aca="false">G573*H573*0.05</f>
        <v>4.528</v>
      </c>
    </row>
    <row r="574" customFormat="false" ht="15" hidden="false" customHeight="false" outlineLevel="0" collapsed="false">
      <c r="A574" s="0" t="s">
        <v>1002</v>
      </c>
      <c r="B574" s="0" t="s">
        <v>29</v>
      </c>
      <c r="C574" s="0" t="s">
        <v>56</v>
      </c>
      <c r="D574" s="0" t="s">
        <v>22</v>
      </c>
      <c r="E574" s="0" t="s">
        <v>57</v>
      </c>
      <c r="F574" s="0" t="s">
        <v>35</v>
      </c>
      <c r="G574" s="16" t="n">
        <v>81.6</v>
      </c>
      <c r="H574" s="0" t="n">
        <v>3</v>
      </c>
      <c r="I574" s="16" t="n">
        <f aca="false">G574*H574*0.05</f>
        <v>12.24</v>
      </c>
      <c r="J574" s="16" t="n">
        <f aca="false">G574*H574*1.05</f>
        <v>257.04</v>
      </c>
      <c r="K574" s="17" t="n">
        <v>43516</v>
      </c>
      <c r="L574" s="14" t="s">
        <v>1003</v>
      </c>
      <c r="M574" s="14" t="s">
        <v>26</v>
      </c>
      <c r="N574" s="16" t="n">
        <f aca="false">G574*H574</f>
        <v>244.8</v>
      </c>
      <c r="O574" s="18" t="n">
        <v>4.761904762</v>
      </c>
      <c r="P574" s="16" t="n">
        <f aca="false">I574</f>
        <v>12.24</v>
      </c>
      <c r="Q574" s="19" t="n">
        <v>5.3</v>
      </c>
      <c r="R574" s="0" t="str">
        <f aca="false">TEXT(K574,"mmm yyyy")</f>
        <v>Feb 2019</v>
      </c>
      <c r="S574" s="14" t="n">
        <f aca="false">HOUR(TIMEVALUE(L574))</f>
        <v>17</v>
      </c>
      <c r="T574" s="0" t="str">
        <f aca="false">IF(S574&lt;12,"Morning",IF(S574&lt;17,"Afternoon","Evening"))</f>
        <v>Evening</v>
      </c>
      <c r="U574" s="16" t="n">
        <f aca="false">G574*H574*0.05</f>
        <v>12.24</v>
      </c>
    </row>
    <row r="575" customFormat="false" ht="15" hidden="false" customHeight="false" outlineLevel="0" collapsed="false">
      <c r="A575" s="0" t="s">
        <v>1004</v>
      </c>
      <c r="B575" s="0" t="s">
        <v>25</v>
      </c>
      <c r="C575" s="0" t="s">
        <v>68</v>
      </c>
      <c r="D575" s="0" t="s">
        <v>22</v>
      </c>
      <c r="E575" s="0" t="s">
        <v>60</v>
      </c>
      <c r="F575" s="0" t="s">
        <v>37</v>
      </c>
      <c r="G575" s="16" t="n">
        <v>73.55</v>
      </c>
      <c r="H575" s="0" t="n">
        <v>4</v>
      </c>
      <c r="I575" s="16" t="n">
        <f aca="false">G575*H575*0.05</f>
        <v>14.71</v>
      </c>
      <c r="J575" s="16" t="n">
        <f aca="false">G575*H575*1.05</f>
        <v>308.91</v>
      </c>
      <c r="K575" s="17" t="n">
        <v>43516</v>
      </c>
      <c r="L575" s="14" t="s">
        <v>294</v>
      </c>
      <c r="M575" s="14" t="s">
        <v>34</v>
      </c>
      <c r="N575" s="16" t="n">
        <f aca="false">G575*H575</f>
        <v>294.2</v>
      </c>
      <c r="O575" s="18" t="n">
        <v>4.761904762</v>
      </c>
      <c r="P575" s="16" t="n">
        <f aca="false">I575</f>
        <v>14.71</v>
      </c>
      <c r="Q575" s="19" t="n">
        <v>5</v>
      </c>
      <c r="R575" s="0" t="str">
        <f aca="false">TEXT(K575,"mmm yyyy")</f>
        <v>Feb 2019</v>
      </c>
      <c r="S575" s="14" t="n">
        <f aca="false">HOUR(TIMEVALUE(L575))</f>
        <v>14</v>
      </c>
      <c r="T575" s="0" t="str">
        <f aca="false">IF(S575&lt;12,"Morning",IF(S575&lt;17,"Afternoon","Evening"))</f>
        <v>Afternoon</v>
      </c>
      <c r="U575" s="16" t="n">
        <f aca="false">G575*H575*0.05</f>
        <v>14.71</v>
      </c>
    </row>
    <row r="576" customFormat="false" ht="15" hidden="false" customHeight="false" outlineLevel="0" collapsed="false">
      <c r="A576" s="0" t="s">
        <v>1005</v>
      </c>
      <c r="B576" s="0" t="s">
        <v>25</v>
      </c>
      <c r="C576" s="0" t="s">
        <v>68</v>
      </c>
      <c r="D576" s="0" t="s">
        <v>22</v>
      </c>
      <c r="E576" s="0" t="s">
        <v>57</v>
      </c>
      <c r="F576" s="0" t="s">
        <v>23</v>
      </c>
      <c r="G576" s="16" t="n">
        <v>17.77</v>
      </c>
      <c r="H576" s="0" t="n">
        <v>10</v>
      </c>
      <c r="I576" s="16" t="n">
        <f aca="false">G576*H576*0.05</f>
        <v>8.885</v>
      </c>
      <c r="J576" s="16" t="n">
        <f aca="false">G576*H576*1.05</f>
        <v>186.585</v>
      </c>
      <c r="K576" s="17" t="n">
        <v>43516</v>
      </c>
      <c r="L576" s="14" t="s">
        <v>158</v>
      </c>
      <c r="M576" s="14" t="s">
        <v>26</v>
      </c>
      <c r="N576" s="16" t="n">
        <f aca="false">G576*H576</f>
        <v>177.7</v>
      </c>
      <c r="O576" s="18" t="n">
        <v>4.761904762</v>
      </c>
      <c r="P576" s="16" t="n">
        <f aca="false">I576</f>
        <v>8.885</v>
      </c>
      <c r="Q576" s="19" t="n">
        <v>5.6</v>
      </c>
      <c r="R576" s="0" t="str">
        <f aca="false">TEXT(K576,"mmm yyyy")</f>
        <v>Feb 2019</v>
      </c>
      <c r="S576" s="14" t="n">
        <f aca="false">HOUR(TIMEVALUE(L576))</f>
        <v>15</v>
      </c>
      <c r="T576" s="0" t="str">
        <f aca="false">IF(S576&lt;12,"Morning",IF(S576&lt;17,"Afternoon","Evening"))</f>
        <v>Afternoon</v>
      </c>
      <c r="U576" s="16" t="n">
        <f aca="false">G576*H576*0.05</f>
        <v>8.885</v>
      </c>
    </row>
    <row r="577" customFormat="false" ht="15" hidden="false" customHeight="false" outlineLevel="0" collapsed="false">
      <c r="A577" s="0" t="s">
        <v>1006</v>
      </c>
      <c r="B577" s="0" t="s">
        <v>25</v>
      </c>
      <c r="C577" s="0" t="s">
        <v>68</v>
      </c>
      <c r="D577" s="0" t="s">
        <v>22</v>
      </c>
      <c r="E577" s="0" t="s">
        <v>60</v>
      </c>
      <c r="F577" s="0" t="s">
        <v>31</v>
      </c>
      <c r="G577" s="16" t="n">
        <v>17.42</v>
      </c>
      <c r="H577" s="0" t="n">
        <v>4</v>
      </c>
      <c r="I577" s="16" t="n">
        <f aca="false">G577*H577*0.05</f>
        <v>3.484</v>
      </c>
      <c r="J577" s="16" t="n">
        <f aca="false">G577*H577*1.05</f>
        <v>73.164</v>
      </c>
      <c r="K577" s="17" t="n">
        <v>43516</v>
      </c>
      <c r="L577" s="14" t="s">
        <v>336</v>
      </c>
      <c r="M577" s="14" t="s">
        <v>26</v>
      </c>
      <c r="N577" s="16" t="n">
        <f aca="false">G577*H577</f>
        <v>69.68</v>
      </c>
      <c r="O577" s="18" t="n">
        <v>4.761904762</v>
      </c>
      <c r="P577" s="16" t="n">
        <f aca="false">I577</f>
        <v>3.484</v>
      </c>
      <c r="Q577" s="19" t="n">
        <v>5.7</v>
      </c>
      <c r="R577" s="0" t="str">
        <f aca="false">TEXT(K577,"mmm yyyy")</f>
        <v>Feb 2019</v>
      </c>
      <c r="S577" s="14" t="n">
        <f aca="false">HOUR(TIMEVALUE(L577))</f>
        <v>11</v>
      </c>
      <c r="T577" s="0" t="str">
        <f aca="false">IF(S577&lt;12,"Morning",IF(S577&lt;17,"Afternoon","Evening"))</f>
        <v>Morning</v>
      </c>
      <c r="U577" s="16" t="n">
        <f aca="false">G577*H577*0.05</f>
        <v>3.484</v>
      </c>
    </row>
    <row r="578" customFormat="false" ht="15" hidden="false" customHeight="false" outlineLevel="0" collapsed="false">
      <c r="A578" s="0" t="s">
        <v>1007</v>
      </c>
      <c r="B578" s="0" t="s">
        <v>25</v>
      </c>
      <c r="C578" s="0" t="s">
        <v>68</v>
      </c>
      <c r="D578" s="0" t="s">
        <v>21</v>
      </c>
      <c r="E578" s="0" t="s">
        <v>60</v>
      </c>
      <c r="F578" s="0" t="s">
        <v>27</v>
      </c>
      <c r="G578" s="16" t="n">
        <v>94.32</v>
      </c>
      <c r="H578" s="0" t="n">
        <v>7</v>
      </c>
      <c r="I578" s="16" t="n">
        <f aca="false">G578*H578*0.05</f>
        <v>33.012</v>
      </c>
      <c r="J578" s="16" t="n">
        <f aca="false">G578*H578*1.05</f>
        <v>693.252</v>
      </c>
      <c r="K578" s="17" t="n">
        <v>43516</v>
      </c>
      <c r="L578" s="14" t="s">
        <v>1008</v>
      </c>
      <c r="M578" s="14" t="s">
        <v>30</v>
      </c>
      <c r="N578" s="16" t="n">
        <f aca="false">G578*H578</f>
        <v>660.24</v>
      </c>
      <c r="O578" s="18" t="n">
        <v>4.761904762</v>
      </c>
      <c r="P578" s="16" t="n">
        <f aca="false">I578</f>
        <v>33.012</v>
      </c>
      <c r="Q578" s="19" t="n">
        <v>5.7</v>
      </c>
      <c r="R578" s="0" t="str">
        <f aca="false">TEXT(K578,"mmm yyyy")</f>
        <v>Feb 2019</v>
      </c>
      <c r="S578" s="14" t="n">
        <f aca="false">HOUR(TIMEVALUE(L578))</f>
        <v>18</v>
      </c>
      <c r="T578" s="0" t="str">
        <f aca="false">IF(S578&lt;12,"Morning",IF(S578&lt;17,"Afternoon","Evening"))</f>
        <v>Evening</v>
      </c>
      <c r="U578" s="16" t="n">
        <f aca="false">G578*H578*0.05</f>
        <v>33.012</v>
      </c>
    </row>
    <row r="579" customFormat="false" ht="15" hidden="false" customHeight="false" outlineLevel="0" collapsed="false">
      <c r="A579" s="0" t="s">
        <v>1009</v>
      </c>
      <c r="B579" s="0" t="s">
        <v>25</v>
      </c>
      <c r="C579" s="0" t="s">
        <v>68</v>
      </c>
      <c r="D579" s="0" t="s">
        <v>21</v>
      </c>
      <c r="E579" s="0" t="s">
        <v>60</v>
      </c>
      <c r="F579" s="0" t="s">
        <v>37</v>
      </c>
      <c r="G579" s="16" t="n">
        <v>27.85</v>
      </c>
      <c r="H579" s="0" t="n">
        <v>4</v>
      </c>
      <c r="I579" s="16" t="n">
        <f aca="false">G579*H579*0.05</f>
        <v>5.57</v>
      </c>
      <c r="J579" s="16" t="n">
        <f aca="false">G579*H579*1.05</f>
        <v>116.97</v>
      </c>
      <c r="K579" s="17" t="n">
        <v>43517</v>
      </c>
      <c r="L579" s="14" t="s">
        <v>263</v>
      </c>
      <c r="M579" s="14" t="s">
        <v>26</v>
      </c>
      <c r="N579" s="16" t="n">
        <f aca="false">G579*H579</f>
        <v>111.4</v>
      </c>
      <c r="O579" s="18" t="n">
        <v>4.761904762</v>
      </c>
      <c r="P579" s="16" t="n">
        <f aca="false">I579</f>
        <v>5.57</v>
      </c>
      <c r="Q579" s="19" t="n">
        <v>6.7</v>
      </c>
      <c r="R579" s="0" t="str">
        <f aca="false">TEXT(K579,"mmm yyyy")</f>
        <v>Feb 2019</v>
      </c>
      <c r="S579" s="14" t="n">
        <f aca="false">HOUR(TIMEVALUE(L579))</f>
        <v>13</v>
      </c>
      <c r="T579" s="0" t="str">
        <f aca="false">IF(S579&lt;12,"Morning",IF(S579&lt;17,"Afternoon","Evening"))</f>
        <v>Afternoon</v>
      </c>
      <c r="U579" s="16" t="n">
        <f aca="false">G579*H579*0.05</f>
        <v>5.57</v>
      </c>
    </row>
    <row r="580" customFormat="false" ht="15" hidden="false" customHeight="false" outlineLevel="0" collapsed="false">
      <c r="A580" s="0" t="s">
        <v>1010</v>
      </c>
      <c r="B580" s="0" t="s">
        <v>25</v>
      </c>
      <c r="C580" s="0" t="s">
        <v>68</v>
      </c>
      <c r="D580" s="0" t="s">
        <v>22</v>
      </c>
      <c r="E580" s="0" t="s">
        <v>57</v>
      </c>
      <c r="F580" s="0" t="s">
        <v>36</v>
      </c>
      <c r="G580" s="16" t="n">
        <v>33.76</v>
      </c>
      <c r="H580" s="0" t="n">
        <v>7</v>
      </c>
      <c r="I580" s="16" t="n">
        <f aca="false">G580*H580*0.05</f>
        <v>11.816</v>
      </c>
      <c r="J580" s="16" t="n">
        <f aca="false">G580*H580*1.05</f>
        <v>248.136</v>
      </c>
      <c r="K580" s="17" t="n">
        <v>43517</v>
      </c>
      <c r="L580" s="14" t="s">
        <v>1011</v>
      </c>
      <c r="M580" s="14" t="s">
        <v>26</v>
      </c>
      <c r="N580" s="16" t="n">
        <f aca="false">G580*H580</f>
        <v>236.32</v>
      </c>
      <c r="O580" s="18" t="n">
        <v>4.761904762</v>
      </c>
      <c r="P580" s="16" t="n">
        <f aca="false">I580</f>
        <v>11.816</v>
      </c>
      <c r="Q580" s="19" t="n">
        <v>8.2</v>
      </c>
      <c r="R580" s="0" t="str">
        <f aca="false">TEXT(K580,"mmm yyyy")</f>
        <v>Feb 2019</v>
      </c>
      <c r="S580" s="14" t="n">
        <f aca="false">HOUR(TIMEVALUE(L580))</f>
        <v>12</v>
      </c>
      <c r="T580" s="0" t="str">
        <f aca="false">IF(S580&lt;12,"Morning",IF(S580&lt;17,"Afternoon","Evening"))</f>
        <v>Afternoon</v>
      </c>
      <c r="U580" s="16" t="n">
        <f aca="false">G580*H580*0.05</f>
        <v>11.816</v>
      </c>
    </row>
    <row r="581" customFormat="false" ht="15" hidden="false" customHeight="false" outlineLevel="0" collapsed="false">
      <c r="A581" s="0" t="s">
        <v>1012</v>
      </c>
      <c r="B581" s="0" t="s">
        <v>33</v>
      </c>
      <c r="C581" s="0" t="s">
        <v>65</v>
      </c>
      <c r="D581" s="0" t="s">
        <v>22</v>
      </c>
      <c r="E581" s="0" t="s">
        <v>57</v>
      </c>
      <c r="F581" s="0" t="s">
        <v>35</v>
      </c>
      <c r="G581" s="16" t="n">
        <v>39.59</v>
      </c>
      <c r="H581" s="0" t="n">
        <v>2</v>
      </c>
      <c r="I581" s="16" t="n">
        <f aca="false">G581*H581*0.05</f>
        <v>3.959</v>
      </c>
      <c r="J581" s="16" t="n">
        <f aca="false">G581*H581*1.05</f>
        <v>83.139</v>
      </c>
      <c r="K581" s="17" t="n">
        <v>43517</v>
      </c>
      <c r="L581" s="14" t="s">
        <v>1013</v>
      </c>
      <c r="M581" s="14" t="s">
        <v>34</v>
      </c>
      <c r="N581" s="16" t="n">
        <f aca="false">G581*H581</f>
        <v>79.18</v>
      </c>
      <c r="O581" s="18" t="n">
        <v>4.761904762</v>
      </c>
      <c r="P581" s="16" t="n">
        <f aca="false">I581</f>
        <v>3.959</v>
      </c>
      <c r="Q581" s="19" t="n">
        <v>9.4</v>
      </c>
      <c r="R581" s="0" t="str">
        <f aca="false">TEXT(K581,"mmm yyyy")</f>
        <v>Feb 2019</v>
      </c>
      <c r="S581" s="14" t="n">
        <f aca="false">HOUR(TIMEVALUE(L581))</f>
        <v>10</v>
      </c>
      <c r="T581" s="0" t="str">
        <f aca="false">IF(S581&lt;12,"Morning",IF(S581&lt;17,"Afternoon","Evening"))</f>
        <v>Morning</v>
      </c>
      <c r="U581" s="16" t="n">
        <f aca="false">G581*H581*0.05</f>
        <v>3.959</v>
      </c>
    </row>
    <row r="582" customFormat="false" ht="15" hidden="false" customHeight="false" outlineLevel="0" collapsed="false">
      <c r="A582" s="0" t="s">
        <v>1014</v>
      </c>
      <c r="B582" s="0" t="s">
        <v>33</v>
      </c>
      <c r="C582" s="0" t="s">
        <v>65</v>
      </c>
      <c r="D582" s="0" t="s">
        <v>22</v>
      </c>
      <c r="E582" s="0" t="s">
        <v>60</v>
      </c>
      <c r="F582" s="0" t="s">
        <v>27</v>
      </c>
      <c r="G582" s="16" t="n">
        <v>13.36</v>
      </c>
      <c r="H582" s="0" t="n">
        <v>2</v>
      </c>
      <c r="I582" s="16" t="n">
        <f aca="false">G582*H582*0.05</f>
        <v>1.336</v>
      </c>
      <c r="J582" s="16" t="n">
        <f aca="false">G582*H582*1.05</f>
        <v>28.056</v>
      </c>
      <c r="K582" s="17" t="n">
        <v>43517</v>
      </c>
      <c r="L582" s="14" t="s">
        <v>1015</v>
      </c>
      <c r="M582" s="14" t="s">
        <v>34</v>
      </c>
      <c r="N582" s="16" t="n">
        <f aca="false">G582*H582</f>
        <v>26.72</v>
      </c>
      <c r="O582" s="18" t="n">
        <v>4.761904762</v>
      </c>
      <c r="P582" s="16" t="n">
        <f aca="false">I582</f>
        <v>1.336</v>
      </c>
      <c r="Q582" s="19" t="n">
        <v>6.6</v>
      </c>
      <c r="R582" s="0" t="str">
        <f aca="false">TEXT(K582,"mmm yyyy")</f>
        <v>Feb 2019</v>
      </c>
      <c r="S582" s="14" t="n">
        <f aca="false">HOUR(TIMEVALUE(L582))</f>
        <v>12</v>
      </c>
      <c r="T582" s="0" t="str">
        <f aca="false">IF(S582&lt;12,"Morning",IF(S582&lt;17,"Afternoon","Evening"))</f>
        <v>Afternoon</v>
      </c>
      <c r="U582" s="16" t="n">
        <f aca="false">G582*H582*0.05</f>
        <v>1.336</v>
      </c>
    </row>
    <row r="583" customFormat="false" ht="15" hidden="false" customHeight="false" outlineLevel="0" collapsed="false">
      <c r="A583" s="0" t="s">
        <v>1016</v>
      </c>
      <c r="B583" s="0" t="s">
        <v>25</v>
      </c>
      <c r="C583" s="0" t="s">
        <v>68</v>
      </c>
      <c r="D583" s="0" t="s">
        <v>22</v>
      </c>
      <c r="E583" s="0" t="s">
        <v>60</v>
      </c>
      <c r="F583" s="0" t="s">
        <v>23</v>
      </c>
      <c r="G583" s="16" t="n">
        <v>83.95</v>
      </c>
      <c r="H583" s="0" t="n">
        <v>1</v>
      </c>
      <c r="I583" s="16" t="n">
        <f aca="false">G583*H583*0.05</f>
        <v>4.1975</v>
      </c>
      <c r="J583" s="16" t="n">
        <f aca="false">G583*H583*1.05</f>
        <v>88.1475</v>
      </c>
      <c r="K583" s="17" t="n">
        <v>43517</v>
      </c>
      <c r="L583" s="14" t="s">
        <v>1017</v>
      </c>
      <c r="M583" s="14" t="s">
        <v>30</v>
      </c>
      <c r="N583" s="16" t="n">
        <f aca="false">G583*H583</f>
        <v>83.95</v>
      </c>
      <c r="O583" s="18" t="n">
        <v>4.761904762</v>
      </c>
      <c r="P583" s="16" t="n">
        <f aca="false">I583</f>
        <v>4.1975</v>
      </c>
      <c r="Q583" s="19" t="n">
        <v>9.3</v>
      </c>
      <c r="R583" s="0" t="str">
        <f aca="false">TEXT(K583,"mmm yyyy")</f>
        <v>Feb 2019</v>
      </c>
      <c r="S583" s="14" t="n">
        <f aca="false">HOUR(TIMEVALUE(L583))</f>
        <v>18</v>
      </c>
      <c r="T583" s="0" t="str">
        <f aca="false">IF(S583&lt;12,"Morning",IF(S583&lt;17,"Afternoon","Evening"))</f>
        <v>Evening</v>
      </c>
      <c r="U583" s="16" t="n">
        <f aca="false">G583*H583*0.05</f>
        <v>4.1975</v>
      </c>
    </row>
    <row r="584" customFormat="false" ht="15" hidden="false" customHeight="false" outlineLevel="0" collapsed="false">
      <c r="A584" s="0" t="s">
        <v>1018</v>
      </c>
      <c r="B584" s="0" t="s">
        <v>33</v>
      </c>
      <c r="C584" s="0" t="s">
        <v>65</v>
      </c>
      <c r="D584" s="0" t="s">
        <v>21</v>
      </c>
      <c r="E584" s="0" t="s">
        <v>60</v>
      </c>
      <c r="F584" s="0" t="s">
        <v>23</v>
      </c>
      <c r="G584" s="16" t="n">
        <v>63.71</v>
      </c>
      <c r="H584" s="0" t="n">
        <v>9</v>
      </c>
      <c r="I584" s="16" t="n">
        <f aca="false">G584*H584*0.05</f>
        <v>28.6695</v>
      </c>
      <c r="J584" s="16" t="n">
        <f aca="false">G584*H584*1.05</f>
        <v>602.0595</v>
      </c>
      <c r="K584" s="17" t="n">
        <v>43517</v>
      </c>
      <c r="L584" s="14" t="s">
        <v>1019</v>
      </c>
      <c r="M584" s="14" t="s">
        <v>30</v>
      </c>
      <c r="N584" s="16" t="n">
        <f aca="false">G584*H584</f>
        <v>573.39</v>
      </c>
      <c r="O584" s="18" t="n">
        <v>4.761904762</v>
      </c>
      <c r="P584" s="16" t="n">
        <f aca="false">I584</f>
        <v>28.6695</v>
      </c>
      <c r="Q584" s="19" t="n">
        <v>8.2</v>
      </c>
      <c r="R584" s="0" t="str">
        <f aca="false">TEXT(K584,"mmm yyyy")</f>
        <v>Feb 2019</v>
      </c>
      <c r="S584" s="14" t="n">
        <f aca="false">HOUR(TIMEVALUE(L584))</f>
        <v>10</v>
      </c>
      <c r="T584" s="0" t="str">
        <f aca="false">IF(S584&lt;12,"Morning",IF(S584&lt;17,"Afternoon","Evening"))</f>
        <v>Morning</v>
      </c>
      <c r="U584" s="16" t="n">
        <f aca="false">G584*H584*0.05</f>
        <v>28.6695</v>
      </c>
    </row>
    <row r="585" customFormat="false" ht="15" hidden="false" customHeight="false" outlineLevel="0" collapsed="false">
      <c r="A585" s="0" t="s">
        <v>1020</v>
      </c>
      <c r="B585" s="0" t="s">
        <v>29</v>
      </c>
      <c r="C585" s="0" t="s">
        <v>56</v>
      </c>
      <c r="D585" s="0" t="s">
        <v>22</v>
      </c>
      <c r="E585" s="0" t="s">
        <v>57</v>
      </c>
      <c r="F585" s="0" t="s">
        <v>23</v>
      </c>
      <c r="G585" s="16" t="n">
        <v>16.19</v>
      </c>
      <c r="H585" s="0" t="n">
        <v>2</v>
      </c>
      <c r="I585" s="16" t="n">
        <f aca="false">G585*H585*0.05</f>
        <v>1.619</v>
      </c>
      <c r="J585" s="16" t="n">
        <f aca="false">G585*H585*1.05</f>
        <v>33.999</v>
      </c>
      <c r="K585" s="17" t="n">
        <v>43517</v>
      </c>
      <c r="L585" s="14" t="s">
        <v>645</v>
      </c>
      <c r="M585" s="14" t="s">
        <v>26</v>
      </c>
      <c r="N585" s="16" t="n">
        <f aca="false">G585*H585</f>
        <v>32.38</v>
      </c>
      <c r="O585" s="18" t="n">
        <v>4.761904762</v>
      </c>
      <c r="P585" s="16" t="n">
        <f aca="false">I585</f>
        <v>1.619</v>
      </c>
      <c r="Q585" s="19" t="n">
        <v>6.2</v>
      </c>
      <c r="R585" s="0" t="str">
        <f aca="false">TEXT(K585,"mmm yyyy")</f>
        <v>Feb 2019</v>
      </c>
      <c r="S585" s="14" t="n">
        <f aca="false">HOUR(TIMEVALUE(L585))</f>
        <v>12</v>
      </c>
      <c r="T585" s="0" t="str">
        <f aca="false">IF(S585&lt;12,"Morning",IF(S585&lt;17,"Afternoon","Evening"))</f>
        <v>Afternoon</v>
      </c>
      <c r="U585" s="16" t="n">
        <f aca="false">G585*H585*0.05</f>
        <v>1.619</v>
      </c>
    </row>
    <row r="586" customFormat="false" ht="15" hidden="false" customHeight="false" outlineLevel="0" collapsed="false">
      <c r="A586" s="0" t="s">
        <v>1021</v>
      </c>
      <c r="B586" s="0" t="s">
        <v>25</v>
      </c>
      <c r="C586" s="0" t="s">
        <v>68</v>
      </c>
      <c r="D586" s="0" t="s">
        <v>21</v>
      </c>
      <c r="E586" s="0" t="s">
        <v>57</v>
      </c>
      <c r="F586" s="0" t="s">
        <v>35</v>
      </c>
      <c r="G586" s="16" t="n">
        <v>76.27</v>
      </c>
      <c r="H586" s="0" t="n">
        <v>3</v>
      </c>
      <c r="I586" s="16" t="n">
        <f aca="false">G586*H586*0.05</f>
        <v>11.4405</v>
      </c>
      <c r="J586" s="16" t="n">
        <f aca="false">G586*H586*1.05</f>
        <v>240.2505</v>
      </c>
      <c r="K586" s="17" t="n">
        <v>43517</v>
      </c>
      <c r="L586" s="14" t="s">
        <v>219</v>
      </c>
      <c r="M586" s="14" t="s">
        <v>30</v>
      </c>
      <c r="N586" s="16" t="n">
        <f aca="false">G586*H586</f>
        <v>228.81</v>
      </c>
      <c r="O586" s="18" t="n">
        <v>4.761904762</v>
      </c>
      <c r="P586" s="16" t="n">
        <f aca="false">I586</f>
        <v>11.4405</v>
      </c>
      <c r="Q586" s="19" t="n">
        <v>5.5</v>
      </c>
      <c r="R586" s="0" t="str">
        <f aca="false">TEXT(K586,"mmm yyyy")</f>
        <v>Feb 2019</v>
      </c>
      <c r="S586" s="14" t="n">
        <f aca="false">HOUR(TIMEVALUE(L586))</f>
        <v>11</v>
      </c>
      <c r="T586" s="0" t="str">
        <f aca="false">IF(S586&lt;12,"Morning",IF(S586&lt;17,"Afternoon","Evening"))</f>
        <v>Morning</v>
      </c>
      <c r="U586" s="16" t="n">
        <f aca="false">G586*H586*0.05</f>
        <v>11.4405</v>
      </c>
    </row>
    <row r="587" customFormat="false" ht="15" hidden="false" customHeight="false" outlineLevel="0" collapsed="false">
      <c r="A587" s="0" t="s">
        <v>1022</v>
      </c>
      <c r="B587" s="0" t="s">
        <v>33</v>
      </c>
      <c r="C587" s="0" t="s">
        <v>65</v>
      </c>
      <c r="D587" s="0" t="s">
        <v>22</v>
      </c>
      <c r="E587" s="0" t="s">
        <v>57</v>
      </c>
      <c r="F587" s="0" t="s">
        <v>37</v>
      </c>
      <c r="G587" s="16" t="n">
        <v>59.95</v>
      </c>
      <c r="H587" s="0" t="n">
        <v>5</v>
      </c>
      <c r="I587" s="16" t="n">
        <f aca="false">G587*H587*0.05</f>
        <v>14.9875</v>
      </c>
      <c r="J587" s="16" t="n">
        <f aca="false">G587*H587*1.05</f>
        <v>314.7375</v>
      </c>
      <c r="K587" s="17" t="n">
        <v>43517</v>
      </c>
      <c r="L587" s="14" t="s">
        <v>1023</v>
      </c>
      <c r="M587" s="14" t="s">
        <v>34</v>
      </c>
      <c r="N587" s="16" t="n">
        <f aca="false">G587*H587</f>
        <v>299.75</v>
      </c>
      <c r="O587" s="18" t="n">
        <v>4.761904762</v>
      </c>
      <c r="P587" s="16" t="n">
        <f aca="false">I587</f>
        <v>14.9875</v>
      </c>
      <c r="Q587" s="19" t="n">
        <v>8.9</v>
      </c>
      <c r="R587" s="0" t="str">
        <f aca="false">TEXT(K587,"mmm yyyy")</f>
        <v>Feb 2019</v>
      </c>
      <c r="S587" s="14" t="n">
        <f aca="false">HOUR(TIMEVALUE(L587))</f>
        <v>12</v>
      </c>
      <c r="T587" s="0" t="str">
        <f aca="false">IF(S587&lt;12,"Morning",IF(S587&lt;17,"Afternoon","Evening"))</f>
        <v>Afternoon</v>
      </c>
      <c r="U587" s="16" t="n">
        <f aca="false">G587*H587*0.05</f>
        <v>14.9875</v>
      </c>
    </row>
    <row r="588" customFormat="false" ht="15" hidden="false" customHeight="false" outlineLevel="0" collapsed="false">
      <c r="A588" s="0" t="s">
        <v>1024</v>
      </c>
      <c r="B588" s="0" t="s">
        <v>25</v>
      </c>
      <c r="C588" s="0" t="s">
        <v>68</v>
      </c>
      <c r="D588" s="0" t="s">
        <v>22</v>
      </c>
      <c r="E588" s="0" t="s">
        <v>60</v>
      </c>
      <c r="F588" s="0" t="s">
        <v>35</v>
      </c>
      <c r="G588" s="16" t="n">
        <v>34.56</v>
      </c>
      <c r="H588" s="0" t="n">
        <v>8</v>
      </c>
      <c r="I588" s="16" t="n">
        <f aca="false">G588*H588*0.05</f>
        <v>13.824</v>
      </c>
      <c r="J588" s="16" t="n">
        <f aca="false">G588*H588*1.05</f>
        <v>290.304</v>
      </c>
      <c r="K588" s="17" t="n">
        <v>43517</v>
      </c>
      <c r="L588" s="14" t="s">
        <v>1025</v>
      </c>
      <c r="M588" s="14" t="s">
        <v>30</v>
      </c>
      <c r="N588" s="16" t="n">
        <f aca="false">G588*H588</f>
        <v>276.48</v>
      </c>
      <c r="O588" s="18" t="n">
        <v>4.761904762</v>
      </c>
      <c r="P588" s="16" t="n">
        <f aca="false">I588</f>
        <v>13.824</v>
      </c>
      <c r="Q588" s="19" t="n">
        <v>5.6</v>
      </c>
      <c r="R588" s="0" t="str">
        <f aca="false">TEXT(K588,"mmm yyyy")</f>
        <v>Feb 2019</v>
      </c>
      <c r="S588" s="14" t="n">
        <f aca="false">HOUR(TIMEVALUE(L588))</f>
        <v>20</v>
      </c>
      <c r="T588" s="0" t="str">
        <f aca="false">IF(S588&lt;12,"Morning",IF(S588&lt;17,"Afternoon","Evening"))</f>
        <v>Evening</v>
      </c>
      <c r="U588" s="16" t="n">
        <f aca="false">G588*H588*0.05</f>
        <v>13.824</v>
      </c>
    </row>
    <row r="589" customFormat="false" ht="15" hidden="false" customHeight="false" outlineLevel="0" collapsed="false">
      <c r="A589" s="0" t="s">
        <v>1026</v>
      </c>
      <c r="B589" s="0" t="s">
        <v>33</v>
      </c>
      <c r="C589" s="0" t="s">
        <v>65</v>
      </c>
      <c r="D589" s="0" t="s">
        <v>21</v>
      </c>
      <c r="E589" s="0" t="s">
        <v>57</v>
      </c>
      <c r="F589" s="0" t="s">
        <v>27</v>
      </c>
      <c r="G589" s="16" t="n">
        <v>60.67</v>
      </c>
      <c r="H589" s="0" t="n">
        <v>9</v>
      </c>
      <c r="I589" s="16" t="n">
        <f aca="false">G589*H589*0.05</f>
        <v>27.3015</v>
      </c>
      <c r="J589" s="16" t="n">
        <f aca="false">G589*H589*1.05</f>
        <v>573.3315</v>
      </c>
      <c r="K589" s="17" t="n">
        <v>43517</v>
      </c>
      <c r="L589" s="14" t="s">
        <v>303</v>
      </c>
      <c r="M589" s="14" t="s">
        <v>26</v>
      </c>
      <c r="N589" s="16" t="n">
        <f aca="false">G589*H589</f>
        <v>546.03</v>
      </c>
      <c r="O589" s="18" t="n">
        <v>4.761904762</v>
      </c>
      <c r="P589" s="16" t="n">
        <f aca="false">I589</f>
        <v>27.3015</v>
      </c>
      <c r="Q589" s="19" t="n">
        <v>9.1</v>
      </c>
      <c r="R589" s="0" t="str">
        <f aca="false">TEXT(K589,"mmm yyyy")</f>
        <v>Feb 2019</v>
      </c>
      <c r="S589" s="14" t="n">
        <f aca="false">HOUR(TIMEVALUE(L589))</f>
        <v>15</v>
      </c>
      <c r="T589" s="0" t="str">
        <f aca="false">IF(S589&lt;12,"Morning",IF(S589&lt;17,"Afternoon","Evening"))</f>
        <v>Afternoon</v>
      </c>
      <c r="U589" s="16" t="n">
        <f aca="false">G589*H589*0.05</f>
        <v>27.3015</v>
      </c>
    </row>
    <row r="590" customFormat="false" ht="15" hidden="false" customHeight="false" outlineLevel="0" collapsed="false">
      <c r="A590" s="0" t="s">
        <v>1027</v>
      </c>
      <c r="B590" s="0" t="s">
        <v>33</v>
      </c>
      <c r="C590" s="0" t="s">
        <v>65</v>
      </c>
      <c r="D590" s="0" t="s">
        <v>22</v>
      </c>
      <c r="E590" s="0" t="s">
        <v>57</v>
      </c>
      <c r="F590" s="0" t="s">
        <v>27</v>
      </c>
      <c r="G590" s="16" t="n">
        <v>19.53</v>
      </c>
      <c r="H590" s="0" t="n">
        <v>2</v>
      </c>
      <c r="I590" s="16" t="n">
        <f aca="false">G590*H590*0.05</f>
        <v>1.953</v>
      </c>
      <c r="J590" s="16" t="n">
        <f aca="false">G590*H590*1.05</f>
        <v>41.013</v>
      </c>
      <c r="K590" s="17" t="n">
        <v>43518</v>
      </c>
      <c r="L590" s="14" t="s">
        <v>1028</v>
      </c>
      <c r="M590" s="14" t="s">
        <v>34</v>
      </c>
      <c r="N590" s="16" t="n">
        <f aca="false">G590*H590</f>
        <v>39.06</v>
      </c>
      <c r="O590" s="18" t="n">
        <v>4.761904762</v>
      </c>
      <c r="P590" s="16" t="n">
        <f aca="false">I590</f>
        <v>1.953</v>
      </c>
      <c r="Q590" s="19" t="n">
        <v>4</v>
      </c>
      <c r="R590" s="0" t="str">
        <f aca="false">TEXT(K590,"mmm yyyy")</f>
        <v>Feb 2019</v>
      </c>
      <c r="S590" s="14" t="n">
        <f aca="false">HOUR(TIMEVALUE(L590))</f>
        <v>13</v>
      </c>
      <c r="T590" s="0" t="str">
        <f aca="false">IF(S590&lt;12,"Morning",IF(S590&lt;17,"Afternoon","Evening"))</f>
        <v>Afternoon</v>
      </c>
      <c r="U590" s="16" t="n">
        <f aca="false">G590*H590*0.05</f>
        <v>1.953</v>
      </c>
    </row>
    <row r="591" customFormat="false" ht="15" hidden="false" customHeight="false" outlineLevel="0" collapsed="false">
      <c r="A591" s="0" t="s">
        <v>1029</v>
      </c>
      <c r="B591" s="0" t="s">
        <v>25</v>
      </c>
      <c r="C591" s="0" t="s">
        <v>68</v>
      </c>
      <c r="D591" s="0" t="s">
        <v>22</v>
      </c>
      <c r="E591" s="0" t="s">
        <v>60</v>
      </c>
      <c r="F591" s="0" t="s">
        <v>36</v>
      </c>
      <c r="G591" s="16" t="n">
        <v>84.62</v>
      </c>
      <c r="H591" s="0" t="n">
        <v>5</v>
      </c>
      <c r="I591" s="16" t="n">
        <f aca="false">G591*H591*0.05</f>
        <v>21.155</v>
      </c>
      <c r="J591" s="16" t="n">
        <f aca="false">G591*H591*1.05</f>
        <v>444.255</v>
      </c>
      <c r="K591" s="17" t="n">
        <v>43518</v>
      </c>
      <c r="L591" s="14" t="s">
        <v>773</v>
      </c>
      <c r="M591" s="14" t="s">
        <v>30</v>
      </c>
      <c r="N591" s="16" t="n">
        <f aca="false">G591*H591</f>
        <v>423.1</v>
      </c>
      <c r="O591" s="18" t="n">
        <v>4.761904762</v>
      </c>
      <c r="P591" s="16" t="n">
        <f aca="false">I591</f>
        <v>21.155</v>
      </c>
      <c r="Q591" s="19" t="n">
        <v>9.5</v>
      </c>
      <c r="R591" s="0" t="str">
        <f aca="false">TEXT(K591,"mmm yyyy")</f>
        <v>Feb 2019</v>
      </c>
      <c r="S591" s="14" t="n">
        <f aca="false">HOUR(TIMEVALUE(L591))</f>
        <v>18</v>
      </c>
      <c r="T591" s="0" t="str">
        <f aca="false">IF(S591&lt;12,"Morning",IF(S591&lt;17,"Afternoon","Evening"))</f>
        <v>Evening</v>
      </c>
      <c r="U591" s="16" t="n">
        <f aca="false">G591*H591*0.05</f>
        <v>21.155</v>
      </c>
    </row>
    <row r="592" customFormat="false" ht="15" hidden="false" customHeight="false" outlineLevel="0" collapsed="false">
      <c r="A592" s="0" t="s">
        <v>1030</v>
      </c>
      <c r="B592" s="0" t="s">
        <v>29</v>
      </c>
      <c r="C592" s="0" t="s">
        <v>56</v>
      </c>
      <c r="D592" s="0" t="s">
        <v>21</v>
      </c>
      <c r="E592" s="0" t="s">
        <v>60</v>
      </c>
      <c r="F592" s="0" t="s">
        <v>27</v>
      </c>
      <c r="G592" s="16" t="n">
        <v>71.67</v>
      </c>
      <c r="H592" s="0" t="n">
        <v>2</v>
      </c>
      <c r="I592" s="16" t="n">
        <f aca="false">G592*H592*0.05</f>
        <v>7.167</v>
      </c>
      <c r="J592" s="16" t="n">
        <f aca="false">G592*H592*1.05</f>
        <v>150.507</v>
      </c>
      <c r="K592" s="17" t="n">
        <v>43518</v>
      </c>
      <c r="L592" s="14" t="s">
        <v>636</v>
      </c>
      <c r="M592" s="14" t="s">
        <v>34</v>
      </c>
      <c r="N592" s="16" t="n">
        <f aca="false">G592*H592</f>
        <v>143.34</v>
      </c>
      <c r="O592" s="18" t="n">
        <v>4.761904762</v>
      </c>
      <c r="P592" s="16" t="n">
        <f aca="false">I592</f>
        <v>7.167</v>
      </c>
      <c r="Q592" s="19" t="n">
        <v>9.7</v>
      </c>
      <c r="R592" s="0" t="str">
        <f aca="false">TEXT(K592,"mmm yyyy")</f>
        <v>Feb 2019</v>
      </c>
      <c r="S592" s="14" t="n">
        <f aca="false">HOUR(TIMEVALUE(L592))</f>
        <v>14</v>
      </c>
      <c r="T592" s="0" t="str">
        <f aca="false">IF(S592&lt;12,"Morning",IF(S592&lt;17,"Afternoon","Evening"))</f>
        <v>Afternoon</v>
      </c>
      <c r="U592" s="16" t="n">
        <f aca="false">G592*H592*0.05</f>
        <v>7.167</v>
      </c>
    </row>
    <row r="593" customFormat="false" ht="15" hidden="false" customHeight="false" outlineLevel="0" collapsed="false">
      <c r="A593" s="0" t="s">
        <v>1031</v>
      </c>
      <c r="B593" s="0" t="s">
        <v>25</v>
      </c>
      <c r="C593" s="0" t="s">
        <v>68</v>
      </c>
      <c r="D593" s="0" t="s">
        <v>22</v>
      </c>
      <c r="E593" s="0" t="s">
        <v>60</v>
      </c>
      <c r="F593" s="0" t="s">
        <v>31</v>
      </c>
      <c r="G593" s="16" t="n">
        <v>12.55</v>
      </c>
      <c r="H593" s="0" t="n">
        <v>3</v>
      </c>
      <c r="I593" s="16" t="n">
        <f aca="false">G593*H593*0.05</f>
        <v>1.8825</v>
      </c>
      <c r="J593" s="16" t="n">
        <f aca="false">G593*H593*1.05</f>
        <v>39.5325</v>
      </c>
      <c r="K593" s="17" t="n">
        <v>43518</v>
      </c>
      <c r="L593" s="14" t="s">
        <v>530</v>
      </c>
      <c r="M593" s="14" t="s">
        <v>30</v>
      </c>
      <c r="N593" s="16" t="n">
        <f aca="false">G593*H593</f>
        <v>37.65</v>
      </c>
      <c r="O593" s="18" t="n">
        <v>4.761904762</v>
      </c>
      <c r="P593" s="16" t="n">
        <f aca="false">I593</f>
        <v>1.8825</v>
      </c>
      <c r="Q593" s="19" t="n">
        <v>5.3</v>
      </c>
      <c r="R593" s="0" t="str">
        <f aca="false">TEXT(K593,"mmm yyyy")</f>
        <v>Feb 2019</v>
      </c>
      <c r="S593" s="14" t="n">
        <f aca="false">HOUR(TIMEVALUE(L593))</f>
        <v>15</v>
      </c>
      <c r="T593" s="0" t="str">
        <f aca="false">IF(S593&lt;12,"Morning",IF(S593&lt;17,"Afternoon","Evening"))</f>
        <v>Afternoon</v>
      </c>
      <c r="U593" s="16" t="n">
        <f aca="false">G593*H593*0.05</f>
        <v>1.8825</v>
      </c>
    </row>
    <row r="594" customFormat="false" ht="15" hidden="false" customHeight="false" outlineLevel="0" collapsed="false">
      <c r="A594" s="0" t="s">
        <v>1032</v>
      </c>
      <c r="B594" s="0" t="s">
        <v>25</v>
      </c>
      <c r="C594" s="0" t="s">
        <v>68</v>
      </c>
      <c r="D594" s="0" t="s">
        <v>22</v>
      </c>
      <c r="E594" s="0" t="s">
        <v>57</v>
      </c>
      <c r="F594" s="0" t="s">
        <v>35</v>
      </c>
      <c r="G594" s="16" t="n">
        <v>52.46</v>
      </c>
      <c r="H594" s="0" t="n">
        <v>9</v>
      </c>
      <c r="I594" s="16" t="n">
        <f aca="false">G594*H594*0.05</f>
        <v>23.607</v>
      </c>
      <c r="J594" s="16" t="n">
        <f aca="false">G594*H594*1.05</f>
        <v>495.747</v>
      </c>
      <c r="K594" s="17" t="n">
        <v>43518</v>
      </c>
      <c r="L594" s="14" t="s">
        <v>1015</v>
      </c>
      <c r="M594" s="14" t="s">
        <v>26</v>
      </c>
      <c r="N594" s="16" t="n">
        <f aca="false">G594*H594</f>
        <v>472.14</v>
      </c>
      <c r="O594" s="18" t="n">
        <v>4.761904762</v>
      </c>
      <c r="P594" s="16" t="n">
        <f aca="false">I594</f>
        <v>23.607</v>
      </c>
      <c r="Q594" s="19" t="n">
        <v>6.3</v>
      </c>
      <c r="R594" s="0" t="str">
        <f aca="false">TEXT(K594,"mmm yyyy")</f>
        <v>Feb 2019</v>
      </c>
      <c r="S594" s="14" t="n">
        <f aca="false">HOUR(TIMEVALUE(L594))</f>
        <v>12</v>
      </c>
      <c r="T594" s="0" t="str">
        <f aca="false">IF(S594&lt;12,"Morning",IF(S594&lt;17,"Afternoon","Evening"))</f>
        <v>Afternoon</v>
      </c>
      <c r="U594" s="16" t="n">
        <f aca="false">G594*H594*0.05</f>
        <v>23.607</v>
      </c>
    </row>
    <row r="595" customFormat="false" ht="15" hidden="false" customHeight="false" outlineLevel="0" collapsed="false">
      <c r="A595" s="0" t="s">
        <v>1033</v>
      </c>
      <c r="B595" s="0" t="s">
        <v>29</v>
      </c>
      <c r="C595" s="0" t="s">
        <v>56</v>
      </c>
      <c r="D595" s="0" t="s">
        <v>22</v>
      </c>
      <c r="E595" s="0" t="s">
        <v>57</v>
      </c>
      <c r="F595" s="0" t="s">
        <v>23</v>
      </c>
      <c r="G595" s="16" t="n">
        <v>65.22</v>
      </c>
      <c r="H595" s="0" t="n">
        <v>7</v>
      </c>
      <c r="I595" s="16" t="n">
        <f aca="false">G595*H595*0.05</f>
        <v>22.827</v>
      </c>
      <c r="J595" s="16" t="n">
        <f aca="false">G595*H595*1.05</f>
        <v>479.367</v>
      </c>
      <c r="K595" s="17" t="n">
        <v>43518</v>
      </c>
      <c r="L595" s="14" t="s">
        <v>1034</v>
      </c>
      <c r="M595" s="14" t="s">
        <v>30</v>
      </c>
      <c r="N595" s="16" t="n">
        <f aca="false">G595*H595</f>
        <v>456.54</v>
      </c>
      <c r="O595" s="18" t="n">
        <v>4.761904762</v>
      </c>
      <c r="P595" s="16" t="n">
        <f aca="false">I595</f>
        <v>22.827</v>
      </c>
      <c r="Q595" s="19" t="n">
        <v>8.5</v>
      </c>
      <c r="R595" s="0" t="str">
        <f aca="false">TEXT(K595,"mmm yyyy")</f>
        <v>Feb 2019</v>
      </c>
      <c r="S595" s="14" t="n">
        <f aca="false">HOUR(TIMEVALUE(L595))</f>
        <v>18</v>
      </c>
      <c r="T595" s="0" t="str">
        <f aca="false">IF(S595&lt;12,"Morning",IF(S595&lt;17,"Afternoon","Evening"))</f>
        <v>Evening</v>
      </c>
      <c r="U595" s="16" t="n">
        <f aca="false">G595*H595*0.05</f>
        <v>22.827</v>
      </c>
    </row>
    <row r="596" customFormat="false" ht="15" hidden="false" customHeight="false" outlineLevel="0" collapsed="false">
      <c r="A596" s="0" t="s">
        <v>1035</v>
      </c>
      <c r="B596" s="0" t="s">
        <v>25</v>
      </c>
      <c r="C596" s="0" t="s">
        <v>68</v>
      </c>
      <c r="D596" s="0" t="s">
        <v>22</v>
      </c>
      <c r="E596" s="0" t="s">
        <v>60</v>
      </c>
      <c r="F596" s="0" t="s">
        <v>36</v>
      </c>
      <c r="G596" s="16" t="n">
        <v>26.37</v>
      </c>
      <c r="H596" s="0" t="n">
        <v>3</v>
      </c>
      <c r="I596" s="16" t="n">
        <f aca="false">G596*H596*0.05</f>
        <v>3.9555</v>
      </c>
      <c r="J596" s="16" t="n">
        <f aca="false">G596*H596*1.05</f>
        <v>83.0655</v>
      </c>
      <c r="K596" s="17" t="n">
        <v>43518</v>
      </c>
      <c r="L596" s="14" t="s">
        <v>505</v>
      </c>
      <c r="M596" s="14" t="s">
        <v>26</v>
      </c>
      <c r="N596" s="16" t="n">
        <f aca="false">G596*H596</f>
        <v>79.11</v>
      </c>
      <c r="O596" s="18" t="n">
        <v>4.761904762</v>
      </c>
      <c r="P596" s="16" t="n">
        <f aca="false">I596</f>
        <v>3.9555</v>
      </c>
      <c r="Q596" s="19" t="n">
        <v>7</v>
      </c>
      <c r="R596" s="0" t="str">
        <f aca="false">TEXT(K596,"mmm yyyy")</f>
        <v>Feb 2019</v>
      </c>
      <c r="S596" s="14" t="n">
        <f aca="false">HOUR(TIMEVALUE(L596))</f>
        <v>19</v>
      </c>
      <c r="T596" s="0" t="str">
        <f aca="false">IF(S596&lt;12,"Morning",IF(S596&lt;17,"Afternoon","Evening"))</f>
        <v>Evening</v>
      </c>
      <c r="U596" s="16" t="n">
        <f aca="false">G596*H596*0.05</f>
        <v>3.9555</v>
      </c>
    </row>
    <row r="597" customFormat="false" ht="15" hidden="false" customHeight="false" outlineLevel="0" collapsed="false">
      <c r="A597" s="0" t="s">
        <v>1036</v>
      </c>
      <c r="B597" s="0" t="s">
        <v>33</v>
      </c>
      <c r="C597" s="0" t="s">
        <v>65</v>
      </c>
      <c r="D597" s="0" t="s">
        <v>22</v>
      </c>
      <c r="E597" s="0" t="s">
        <v>60</v>
      </c>
      <c r="F597" s="0" t="s">
        <v>37</v>
      </c>
      <c r="G597" s="16" t="n">
        <v>96.79</v>
      </c>
      <c r="H597" s="0" t="n">
        <v>5</v>
      </c>
      <c r="I597" s="16" t="n">
        <f aca="false">G597*H597*0.05</f>
        <v>24.1975</v>
      </c>
      <c r="J597" s="16" t="n">
        <f aca="false">G597*H597*1.05</f>
        <v>508.1475</v>
      </c>
      <c r="K597" s="17" t="n">
        <v>43518</v>
      </c>
      <c r="L597" s="14" t="s">
        <v>1037</v>
      </c>
      <c r="M597" s="14" t="s">
        <v>26</v>
      </c>
      <c r="N597" s="16" t="n">
        <f aca="false">G597*H597</f>
        <v>483.95</v>
      </c>
      <c r="O597" s="18" t="n">
        <v>4.761904762</v>
      </c>
      <c r="P597" s="16" t="n">
        <f aca="false">I597</f>
        <v>24.1975</v>
      </c>
      <c r="Q597" s="19" t="n">
        <v>9.3</v>
      </c>
      <c r="R597" s="0" t="str">
        <f aca="false">TEXT(K597,"mmm yyyy")</f>
        <v>Feb 2019</v>
      </c>
      <c r="S597" s="14" t="n">
        <f aca="false">HOUR(TIMEVALUE(L597))</f>
        <v>15</v>
      </c>
      <c r="T597" s="0" t="str">
        <f aca="false">IF(S597&lt;12,"Morning",IF(S597&lt;17,"Afternoon","Evening"))</f>
        <v>Afternoon</v>
      </c>
      <c r="U597" s="16" t="n">
        <f aca="false">G597*H597*0.05</f>
        <v>24.1975</v>
      </c>
    </row>
    <row r="598" customFormat="false" ht="15" hidden="false" customHeight="false" outlineLevel="0" collapsed="false">
      <c r="A598" s="0" t="s">
        <v>1038</v>
      </c>
      <c r="B598" s="0" t="s">
        <v>33</v>
      </c>
      <c r="C598" s="0" t="s">
        <v>65</v>
      </c>
      <c r="D598" s="0" t="s">
        <v>22</v>
      </c>
      <c r="E598" s="0" t="s">
        <v>60</v>
      </c>
      <c r="F598" s="0" t="s">
        <v>31</v>
      </c>
      <c r="G598" s="16" t="n">
        <v>57.22</v>
      </c>
      <c r="H598" s="0" t="n">
        <v>4</v>
      </c>
      <c r="I598" s="16" t="n">
        <f aca="false">G598*H598*0.05</f>
        <v>11.444</v>
      </c>
      <c r="J598" s="16" t="n">
        <f aca="false">G598*H598*1.05</f>
        <v>240.324</v>
      </c>
      <c r="K598" s="17" t="n">
        <v>43518</v>
      </c>
      <c r="L598" s="14" t="s">
        <v>93</v>
      </c>
      <c r="M598" s="14" t="s">
        <v>26</v>
      </c>
      <c r="N598" s="16" t="n">
        <f aca="false">G598*H598</f>
        <v>228.88</v>
      </c>
      <c r="O598" s="18" t="n">
        <v>4.761904762</v>
      </c>
      <c r="P598" s="16" t="n">
        <f aca="false">I598</f>
        <v>11.444</v>
      </c>
      <c r="Q598" s="19" t="n">
        <v>4.3</v>
      </c>
      <c r="R598" s="0" t="str">
        <f aca="false">TEXT(K598,"mmm yyyy")</f>
        <v>Feb 2019</v>
      </c>
      <c r="S598" s="14" t="n">
        <f aca="false">HOUR(TIMEVALUE(L598))</f>
        <v>19</v>
      </c>
      <c r="T598" s="0" t="str">
        <f aca="false">IF(S598&lt;12,"Morning",IF(S598&lt;17,"Afternoon","Evening"))</f>
        <v>Evening</v>
      </c>
      <c r="U598" s="16" t="n">
        <f aca="false">G598*H598*0.05</f>
        <v>11.444</v>
      </c>
    </row>
    <row r="599" customFormat="false" ht="15" hidden="false" customHeight="false" outlineLevel="0" collapsed="false">
      <c r="A599" s="0" t="s">
        <v>1039</v>
      </c>
      <c r="B599" s="0" t="s">
        <v>33</v>
      </c>
      <c r="C599" s="0" t="s">
        <v>65</v>
      </c>
      <c r="D599" s="0" t="s">
        <v>21</v>
      </c>
      <c r="E599" s="0" t="s">
        <v>60</v>
      </c>
      <c r="F599" s="0" t="s">
        <v>35</v>
      </c>
      <c r="G599" s="16" t="n">
        <v>54.85</v>
      </c>
      <c r="H599" s="0" t="n">
        <v>3</v>
      </c>
      <c r="I599" s="16" t="n">
        <f aca="false">G599*H599*0.05</f>
        <v>8.2275</v>
      </c>
      <c r="J599" s="16" t="n">
        <f aca="false">G599*H599*1.05</f>
        <v>172.7775</v>
      </c>
      <c r="K599" s="17" t="n">
        <v>43518</v>
      </c>
      <c r="L599" s="14" t="s">
        <v>597</v>
      </c>
      <c r="M599" s="14" t="s">
        <v>26</v>
      </c>
      <c r="N599" s="16" t="n">
        <f aca="false">G599*H599</f>
        <v>164.55</v>
      </c>
      <c r="O599" s="18" t="n">
        <v>4.761904762</v>
      </c>
      <c r="P599" s="16" t="n">
        <f aca="false">I599</f>
        <v>8.2275</v>
      </c>
      <c r="Q599" s="19" t="n">
        <v>4.3</v>
      </c>
      <c r="R599" s="0" t="str">
        <f aca="false">TEXT(K599,"mmm yyyy")</f>
        <v>Feb 2019</v>
      </c>
      <c r="S599" s="14" t="n">
        <f aca="false">HOUR(TIMEVALUE(L599))</f>
        <v>20</v>
      </c>
      <c r="T599" s="0" t="str">
        <f aca="false">IF(S599&lt;12,"Morning",IF(S599&lt;17,"Afternoon","Evening"))</f>
        <v>Evening</v>
      </c>
      <c r="U599" s="16" t="n">
        <f aca="false">G599*H599*0.05</f>
        <v>8.2275</v>
      </c>
    </row>
    <row r="600" customFormat="false" ht="15" hidden="false" customHeight="false" outlineLevel="0" collapsed="false">
      <c r="A600" s="0" t="s">
        <v>1040</v>
      </c>
      <c r="B600" s="0" t="s">
        <v>29</v>
      </c>
      <c r="C600" s="0" t="s">
        <v>56</v>
      </c>
      <c r="D600" s="0" t="s">
        <v>22</v>
      </c>
      <c r="E600" s="0" t="s">
        <v>60</v>
      </c>
      <c r="F600" s="0" t="s">
        <v>31</v>
      </c>
      <c r="G600" s="16" t="n">
        <v>60.7</v>
      </c>
      <c r="H600" s="0" t="n">
        <v>10</v>
      </c>
      <c r="I600" s="16" t="n">
        <f aca="false">G600*H600*0.05</f>
        <v>30.35</v>
      </c>
      <c r="J600" s="16" t="n">
        <f aca="false">G600*H600*1.05</f>
        <v>637.35</v>
      </c>
      <c r="K600" s="17" t="n">
        <v>43518</v>
      </c>
      <c r="L600" s="14" t="s">
        <v>214</v>
      </c>
      <c r="M600" s="14" t="s">
        <v>26</v>
      </c>
      <c r="N600" s="16" t="n">
        <f aca="false">G600*H600</f>
        <v>607</v>
      </c>
      <c r="O600" s="18" t="n">
        <v>4.761904762</v>
      </c>
      <c r="P600" s="16" t="n">
        <f aca="false">I600</f>
        <v>30.35</v>
      </c>
      <c r="Q600" s="19" t="n">
        <v>9.4</v>
      </c>
      <c r="R600" s="0" t="str">
        <f aca="false">TEXT(K600,"mmm yyyy")</f>
        <v>Feb 2019</v>
      </c>
      <c r="S600" s="14" t="n">
        <f aca="false">HOUR(TIMEVALUE(L600))</f>
        <v>14</v>
      </c>
      <c r="T600" s="0" t="str">
        <f aca="false">IF(S600&lt;12,"Morning",IF(S600&lt;17,"Afternoon","Evening"))</f>
        <v>Afternoon</v>
      </c>
      <c r="U600" s="16" t="n">
        <f aca="false">G600*H600*0.05</f>
        <v>30.35</v>
      </c>
    </row>
    <row r="601" customFormat="false" ht="15" hidden="false" customHeight="false" outlineLevel="0" collapsed="false">
      <c r="A601" s="0" t="s">
        <v>1041</v>
      </c>
      <c r="B601" s="0" t="s">
        <v>25</v>
      </c>
      <c r="C601" s="0" t="s">
        <v>68</v>
      </c>
      <c r="D601" s="0" t="s">
        <v>22</v>
      </c>
      <c r="E601" s="0" t="s">
        <v>60</v>
      </c>
      <c r="F601" s="0" t="s">
        <v>35</v>
      </c>
      <c r="G601" s="16" t="n">
        <v>59.81</v>
      </c>
      <c r="H601" s="0" t="n">
        <v>4</v>
      </c>
      <c r="I601" s="16" t="n">
        <f aca="false">G601*H601*0.05</f>
        <v>11.962</v>
      </c>
      <c r="J601" s="16" t="n">
        <f aca="false">G601*H601*1.05</f>
        <v>251.202</v>
      </c>
      <c r="K601" s="17" t="n">
        <v>43518</v>
      </c>
      <c r="L601" s="14" t="s">
        <v>77</v>
      </c>
      <c r="M601" s="14" t="s">
        <v>34</v>
      </c>
      <c r="N601" s="16" t="n">
        <f aca="false">G601*H601</f>
        <v>239.24</v>
      </c>
      <c r="O601" s="18" t="n">
        <v>4.761904762</v>
      </c>
      <c r="P601" s="16" t="n">
        <f aca="false">I601</f>
        <v>11.962</v>
      </c>
      <c r="Q601" s="19" t="n">
        <v>9.4</v>
      </c>
      <c r="R601" s="0" t="str">
        <f aca="false">TEXT(K601,"mmm yyyy")</f>
        <v>Feb 2019</v>
      </c>
      <c r="S601" s="14" t="n">
        <f aca="false">HOUR(TIMEVALUE(L601))</f>
        <v>12</v>
      </c>
      <c r="T601" s="0" t="str">
        <f aca="false">IF(S601&lt;12,"Morning",IF(S601&lt;17,"Afternoon","Evening"))</f>
        <v>Afternoon</v>
      </c>
      <c r="U601" s="16" t="n">
        <f aca="false">G601*H601*0.05</f>
        <v>11.962</v>
      </c>
    </row>
    <row r="602" customFormat="false" ht="15" hidden="false" customHeight="false" outlineLevel="0" collapsed="false">
      <c r="A602" s="0" t="s">
        <v>1042</v>
      </c>
      <c r="B602" s="0" t="s">
        <v>33</v>
      </c>
      <c r="C602" s="0" t="s">
        <v>65</v>
      </c>
      <c r="D602" s="0" t="s">
        <v>22</v>
      </c>
      <c r="E602" s="0" t="s">
        <v>60</v>
      </c>
      <c r="F602" s="0" t="s">
        <v>23</v>
      </c>
      <c r="G602" s="16" t="n">
        <v>66.92</v>
      </c>
      <c r="H602" s="0" t="n">
        <v>7</v>
      </c>
      <c r="I602" s="16" t="n">
        <f aca="false">G602*H602*0.05</f>
        <v>23.422</v>
      </c>
      <c r="J602" s="16" t="n">
        <f aca="false">G602*H602*1.05</f>
        <v>491.862</v>
      </c>
      <c r="K602" s="17" t="n">
        <v>43518</v>
      </c>
      <c r="L602" s="14" t="s">
        <v>1043</v>
      </c>
      <c r="M602" s="14" t="s">
        <v>30</v>
      </c>
      <c r="N602" s="16" t="n">
        <f aca="false">G602*H602</f>
        <v>468.44</v>
      </c>
      <c r="O602" s="18" t="n">
        <v>4.761904762</v>
      </c>
      <c r="P602" s="16" t="n">
        <f aca="false">I602</f>
        <v>23.422</v>
      </c>
      <c r="Q602" s="19" t="n">
        <v>4.8</v>
      </c>
      <c r="R602" s="0" t="str">
        <f aca="false">TEXT(K602,"mmm yyyy")</f>
        <v>Feb 2019</v>
      </c>
      <c r="S602" s="14" t="n">
        <f aca="false">HOUR(TIMEVALUE(L602))</f>
        <v>19</v>
      </c>
      <c r="T602" s="0" t="str">
        <f aca="false">IF(S602&lt;12,"Morning",IF(S602&lt;17,"Afternoon","Evening"))</f>
        <v>Evening</v>
      </c>
      <c r="U602" s="16" t="n">
        <f aca="false">G602*H602*0.05</f>
        <v>23.422</v>
      </c>
    </row>
    <row r="603" customFormat="false" ht="15" hidden="false" customHeight="false" outlineLevel="0" collapsed="false">
      <c r="A603" s="0" t="s">
        <v>1044</v>
      </c>
      <c r="B603" s="0" t="s">
        <v>29</v>
      </c>
      <c r="C603" s="0" t="s">
        <v>56</v>
      </c>
      <c r="D603" s="0" t="s">
        <v>22</v>
      </c>
      <c r="E603" s="0" t="s">
        <v>57</v>
      </c>
      <c r="F603" s="0" t="s">
        <v>27</v>
      </c>
      <c r="G603" s="16" t="n">
        <v>82.17</v>
      </c>
      <c r="H603" s="0" t="n">
        <v>2</v>
      </c>
      <c r="I603" s="16" t="n">
        <f aca="false">G603*H603*0.05</f>
        <v>8.217</v>
      </c>
      <c r="J603" s="16" t="n">
        <f aca="false">G603*H603*1.05</f>
        <v>172.557</v>
      </c>
      <c r="K603" s="17" t="n">
        <v>43518</v>
      </c>
      <c r="L603" s="14" t="s">
        <v>726</v>
      </c>
      <c r="M603" s="14" t="s">
        <v>26</v>
      </c>
      <c r="N603" s="16" t="n">
        <f aca="false">G603*H603</f>
        <v>164.34</v>
      </c>
      <c r="O603" s="18" t="n">
        <v>4.761904762</v>
      </c>
      <c r="P603" s="16" t="n">
        <f aca="false">I603</f>
        <v>8.217</v>
      </c>
      <c r="Q603" s="19" t="n">
        <v>7.2</v>
      </c>
      <c r="R603" s="0" t="str">
        <f aca="false">TEXT(K603,"mmm yyyy")</f>
        <v>Feb 2019</v>
      </c>
      <c r="S603" s="14" t="n">
        <f aca="false">HOUR(TIMEVALUE(L603))</f>
        <v>20</v>
      </c>
      <c r="T603" s="0" t="str">
        <f aca="false">IF(S603&lt;12,"Morning",IF(S603&lt;17,"Afternoon","Evening"))</f>
        <v>Evening</v>
      </c>
      <c r="U603" s="16" t="n">
        <f aca="false">G603*H603*0.05</f>
        <v>8.217</v>
      </c>
    </row>
    <row r="604" customFormat="false" ht="15" hidden="false" customHeight="false" outlineLevel="0" collapsed="false">
      <c r="A604" s="0" t="s">
        <v>1045</v>
      </c>
      <c r="B604" s="0" t="s">
        <v>25</v>
      </c>
      <c r="C604" s="0" t="s">
        <v>68</v>
      </c>
      <c r="D604" s="0" t="s">
        <v>22</v>
      </c>
      <c r="E604" s="0" t="s">
        <v>60</v>
      </c>
      <c r="F604" s="0" t="s">
        <v>35</v>
      </c>
      <c r="G604" s="16" t="n">
        <v>59.71</v>
      </c>
      <c r="H604" s="0" t="n">
        <v>5</v>
      </c>
      <c r="I604" s="16" t="n">
        <f aca="false">G604*H604*0.05</f>
        <v>14.9275</v>
      </c>
      <c r="J604" s="16" t="n">
        <f aca="false">G604*H604*1.05</f>
        <v>313.4775</v>
      </c>
      <c r="K604" s="17" t="n">
        <v>43519</v>
      </c>
      <c r="L604" s="14" t="s">
        <v>1046</v>
      </c>
      <c r="M604" s="14" t="s">
        <v>26</v>
      </c>
      <c r="N604" s="16" t="n">
        <f aca="false">G604*H604</f>
        <v>298.55</v>
      </c>
      <c r="O604" s="18" t="n">
        <v>4.761904762</v>
      </c>
      <c r="P604" s="16" t="n">
        <f aca="false">I604</f>
        <v>14.9275</v>
      </c>
      <c r="Q604" s="19" t="n">
        <v>5.5</v>
      </c>
      <c r="R604" s="0" t="str">
        <f aca="false">TEXT(K604,"mmm yyyy")</f>
        <v>Feb 2019</v>
      </c>
      <c r="S604" s="14" t="n">
        <f aca="false">HOUR(TIMEVALUE(L604))</f>
        <v>18</v>
      </c>
      <c r="T604" s="0" t="str">
        <f aca="false">IF(S604&lt;12,"Morning",IF(S604&lt;17,"Afternoon","Evening"))</f>
        <v>Evening</v>
      </c>
      <c r="U604" s="16" t="n">
        <f aca="false">G604*H604*0.05</f>
        <v>14.9275</v>
      </c>
    </row>
    <row r="605" customFormat="false" ht="15" hidden="false" customHeight="false" outlineLevel="0" collapsed="false">
      <c r="A605" s="0" t="s">
        <v>1047</v>
      </c>
      <c r="B605" s="0" t="s">
        <v>25</v>
      </c>
      <c r="C605" s="0" t="s">
        <v>68</v>
      </c>
      <c r="D605" s="0" t="s">
        <v>22</v>
      </c>
      <c r="E605" s="0" t="s">
        <v>60</v>
      </c>
      <c r="F605" s="0" t="s">
        <v>31</v>
      </c>
      <c r="G605" s="16" t="n">
        <v>30.53</v>
      </c>
      <c r="H605" s="0" t="n">
        <v>8</v>
      </c>
      <c r="I605" s="16" t="n">
        <f aca="false">G605*H605*0.05</f>
        <v>12.212</v>
      </c>
      <c r="J605" s="16" t="n">
        <f aca="false">G605*H605*1.05</f>
        <v>256.452</v>
      </c>
      <c r="K605" s="17" t="n">
        <v>43519</v>
      </c>
      <c r="L605" s="14" t="s">
        <v>1048</v>
      </c>
      <c r="M605" s="14" t="s">
        <v>26</v>
      </c>
      <c r="N605" s="16" t="n">
        <f aca="false">G605*H605</f>
        <v>244.24</v>
      </c>
      <c r="O605" s="18" t="n">
        <v>4.761904762</v>
      </c>
      <c r="P605" s="16" t="n">
        <f aca="false">I605</f>
        <v>12.212</v>
      </c>
      <c r="Q605" s="19" t="n">
        <v>7.9</v>
      </c>
      <c r="R605" s="0" t="str">
        <f aca="false">TEXT(K605,"mmm yyyy")</f>
        <v>Feb 2019</v>
      </c>
      <c r="S605" s="14" t="n">
        <f aca="false">HOUR(TIMEVALUE(L605))</f>
        <v>17</v>
      </c>
      <c r="T605" s="0" t="str">
        <f aca="false">IF(S605&lt;12,"Morning",IF(S605&lt;17,"Afternoon","Evening"))</f>
        <v>Evening</v>
      </c>
      <c r="U605" s="16" t="n">
        <f aca="false">G605*H605*0.05</f>
        <v>12.212</v>
      </c>
    </row>
    <row r="606" customFormat="false" ht="15" hidden="false" customHeight="false" outlineLevel="0" collapsed="false">
      <c r="A606" s="0" t="s">
        <v>1049</v>
      </c>
      <c r="B606" s="0" t="s">
        <v>33</v>
      </c>
      <c r="C606" s="0" t="s">
        <v>65</v>
      </c>
      <c r="D606" s="0" t="s">
        <v>21</v>
      </c>
      <c r="E606" s="0" t="s">
        <v>60</v>
      </c>
      <c r="F606" s="0" t="s">
        <v>35</v>
      </c>
      <c r="G606" s="16" t="n">
        <v>17.14</v>
      </c>
      <c r="H606" s="0" t="n">
        <v>4</v>
      </c>
      <c r="I606" s="16" t="n">
        <f aca="false">G606*H606*0.05</f>
        <v>3.428</v>
      </c>
      <c r="J606" s="16" t="n">
        <f aca="false">G606*H606*1.05</f>
        <v>71.988</v>
      </c>
      <c r="K606" s="17" t="n">
        <v>43519</v>
      </c>
      <c r="L606" s="14" t="s">
        <v>1050</v>
      </c>
      <c r="M606" s="14" t="s">
        <v>34</v>
      </c>
      <c r="N606" s="16" t="n">
        <f aca="false">G606*H606</f>
        <v>68.56</v>
      </c>
      <c r="O606" s="18" t="n">
        <v>4.761904762</v>
      </c>
      <c r="P606" s="16" t="n">
        <f aca="false">I606</f>
        <v>3.428</v>
      </c>
      <c r="Q606" s="19" t="n">
        <v>4.3</v>
      </c>
      <c r="R606" s="0" t="str">
        <f aca="false">TEXT(K606,"mmm yyyy")</f>
        <v>Feb 2019</v>
      </c>
      <c r="S606" s="14" t="n">
        <f aca="false">HOUR(TIMEVALUE(L606))</f>
        <v>17</v>
      </c>
      <c r="T606" s="0" t="str">
        <f aca="false">IF(S606&lt;12,"Morning",IF(S606&lt;17,"Afternoon","Evening"))</f>
        <v>Evening</v>
      </c>
      <c r="U606" s="16" t="n">
        <f aca="false">G606*H606*0.05</f>
        <v>3.428</v>
      </c>
    </row>
    <row r="607" customFormat="false" ht="15" hidden="false" customHeight="false" outlineLevel="0" collapsed="false">
      <c r="A607" s="0" t="s">
        <v>1051</v>
      </c>
      <c r="B607" s="0" t="s">
        <v>25</v>
      </c>
      <c r="C607" s="0" t="s">
        <v>68</v>
      </c>
      <c r="D607" s="0" t="s">
        <v>22</v>
      </c>
      <c r="E607" s="0" t="s">
        <v>60</v>
      </c>
      <c r="F607" s="0" t="s">
        <v>36</v>
      </c>
      <c r="G607" s="16" t="n">
        <v>56.65</v>
      </c>
      <c r="H607" s="0" t="n">
        <v>3</v>
      </c>
      <c r="I607" s="16" t="n">
        <f aca="false">G607*H607*0.05</f>
        <v>8.4975</v>
      </c>
      <c r="J607" s="16" t="n">
        <f aca="false">G607*H607*1.05</f>
        <v>178.4475</v>
      </c>
      <c r="K607" s="17" t="n">
        <v>43519</v>
      </c>
      <c r="L607" s="14" t="s">
        <v>796</v>
      </c>
      <c r="M607" s="14" t="s">
        <v>30</v>
      </c>
      <c r="N607" s="16" t="n">
        <f aca="false">G607*H607</f>
        <v>169.95</v>
      </c>
      <c r="O607" s="18" t="n">
        <v>4.761904762</v>
      </c>
      <c r="P607" s="16" t="n">
        <f aca="false">I607</f>
        <v>8.4975</v>
      </c>
      <c r="Q607" s="19" t="n">
        <v>9.1</v>
      </c>
      <c r="R607" s="0" t="str">
        <f aca="false">TEXT(K607,"mmm yyyy")</f>
        <v>Feb 2019</v>
      </c>
      <c r="S607" s="14" t="n">
        <f aca="false">HOUR(TIMEVALUE(L607))</f>
        <v>11</v>
      </c>
      <c r="T607" s="0" t="str">
        <f aca="false">IF(S607&lt;12,"Morning",IF(S607&lt;17,"Afternoon","Evening"))</f>
        <v>Morning</v>
      </c>
      <c r="U607" s="16" t="n">
        <f aca="false">G607*H607*0.05</f>
        <v>8.4975</v>
      </c>
    </row>
    <row r="608" customFormat="false" ht="15" hidden="false" customHeight="false" outlineLevel="0" collapsed="false">
      <c r="A608" s="0" t="s">
        <v>1052</v>
      </c>
      <c r="B608" s="0" t="s">
        <v>25</v>
      </c>
      <c r="C608" s="0" t="s">
        <v>68</v>
      </c>
      <c r="D608" s="0" t="s">
        <v>21</v>
      </c>
      <c r="E608" s="0" t="s">
        <v>57</v>
      </c>
      <c r="F608" s="0" t="s">
        <v>27</v>
      </c>
      <c r="G608" s="16" t="n">
        <v>52.94</v>
      </c>
      <c r="H608" s="0" t="n">
        <v>10</v>
      </c>
      <c r="I608" s="16" t="n">
        <f aca="false">G608*H608*0.05</f>
        <v>26.47</v>
      </c>
      <c r="J608" s="16" t="n">
        <f aca="false">G608*H608*1.05</f>
        <v>555.87</v>
      </c>
      <c r="K608" s="17" t="n">
        <v>43519</v>
      </c>
      <c r="L608" s="14" t="s">
        <v>276</v>
      </c>
      <c r="M608" s="14" t="s">
        <v>26</v>
      </c>
      <c r="N608" s="16" t="n">
        <f aca="false">G608*H608</f>
        <v>529.4</v>
      </c>
      <c r="O608" s="18" t="n">
        <v>4.761904762</v>
      </c>
      <c r="P608" s="16" t="n">
        <f aca="false">I608</f>
        <v>26.47</v>
      </c>
      <c r="Q608" s="19" t="n">
        <v>8.1</v>
      </c>
      <c r="R608" s="0" t="str">
        <f aca="false">TEXT(K608,"mmm yyyy")</f>
        <v>Feb 2019</v>
      </c>
      <c r="S608" s="14" t="n">
        <f aca="false">HOUR(TIMEVALUE(L608))</f>
        <v>13</v>
      </c>
      <c r="T608" s="0" t="str">
        <f aca="false">IF(S608&lt;12,"Morning",IF(S608&lt;17,"Afternoon","Evening"))</f>
        <v>Afternoon</v>
      </c>
      <c r="U608" s="16" t="n">
        <f aca="false">G608*H608*0.05</f>
        <v>26.47</v>
      </c>
    </row>
    <row r="609" customFormat="false" ht="15" hidden="false" customHeight="false" outlineLevel="0" collapsed="false">
      <c r="A609" s="0" t="s">
        <v>1053</v>
      </c>
      <c r="B609" s="0" t="s">
        <v>29</v>
      </c>
      <c r="C609" s="0" t="s">
        <v>56</v>
      </c>
      <c r="D609" s="0" t="s">
        <v>22</v>
      </c>
      <c r="E609" s="0" t="s">
        <v>60</v>
      </c>
      <c r="F609" s="0" t="s">
        <v>31</v>
      </c>
      <c r="G609" s="16" t="n">
        <v>11.06</v>
      </c>
      <c r="H609" s="0" t="n">
        <v>8</v>
      </c>
      <c r="I609" s="16" t="n">
        <f aca="false">G609*H609*0.05</f>
        <v>4.424</v>
      </c>
      <c r="J609" s="16" t="n">
        <f aca="false">G609*H609*1.05</f>
        <v>92.904</v>
      </c>
      <c r="K609" s="17" t="n">
        <v>43519</v>
      </c>
      <c r="L609" s="14" t="s">
        <v>789</v>
      </c>
      <c r="M609" s="14" t="s">
        <v>30</v>
      </c>
      <c r="N609" s="16" t="n">
        <f aca="false">G609*H609</f>
        <v>88.48</v>
      </c>
      <c r="O609" s="18" t="n">
        <v>4.761904762</v>
      </c>
      <c r="P609" s="16" t="n">
        <f aca="false">I609</f>
        <v>4.424</v>
      </c>
      <c r="Q609" s="19" t="n">
        <v>8.3</v>
      </c>
      <c r="R609" s="0" t="str">
        <f aca="false">TEXT(K609,"mmm yyyy")</f>
        <v>Feb 2019</v>
      </c>
      <c r="S609" s="14" t="n">
        <f aca="false">HOUR(TIMEVALUE(L609))</f>
        <v>10</v>
      </c>
      <c r="T609" s="0" t="str">
        <f aca="false">IF(S609&lt;12,"Morning",IF(S609&lt;17,"Afternoon","Evening"))</f>
        <v>Morning</v>
      </c>
      <c r="U609" s="16" t="n">
        <f aca="false">G609*H609*0.05</f>
        <v>4.424</v>
      </c>
    </row>
    <row r="610" customFormat="false" ht="15" hidden="false" customHeight="false" outlineLevel="0" collapsed="false">
      <c r="A610" s="0" t="s">
        <v>1054</v>
      </c>
      <c r="B610" s="0" t="s">
        <v>29</v>
      </c>
      <c r="C610" s="0" t="s">
        <v>56</v>
      </c>
      <c r="D610" s="0" t="s">
        <v>22</v>
      </c>
      <c r="E610" s="0" t="s">
        <v>57</v>
      </c>
      <c r="F610" s="0" t="s">
        <v>27</v>
      </c>
      <c r="G610" s="16" t="n">
        <v>81.85</v>
      </c>
      <c r="H610" s="0" t="n">
        <v>5</v>
      </c>
      <c r="I610" s="16" t="n">
        <f aca="false">G610*H610*0.05</f>
        <v>20.4625</v>
      </c>
      <c r="J610" s="16" t="n">
        <f aca="false">G610*H610*1.05</f>
        <v>429.7125</v>
      </c>
      <c r="K610" s="17" t="n">
        <v>43520</v>
      </c>
      <c r="L610" s="14" t="s">
        <v>100</v>
      </c>
      <c r="M610" s="14" t="s">
        <v>26</v>
      </c>
      <c r="N610" s="16" t="n">
        <f aca="false">G610*H610</f>
        <v>409.25</v>
      </c>
      <c r="O610" s="18" t="n">
        <v>4.761904762</v>
      </c>
      <c r="P610" s="16" t="n">
        <f aca="false">I610</f>
        <v>20.4625</v>
      </c>
      <c r="Q610" s="19" t="n">
        <v>6.8</v>
      </c>
      <c r="R610" s="0" t="str">
        <f aca="false">TEXT(K610,"mmm yyyy")</f>
        <v>Feb 2019</v>
      </c>
      <c r="S610" s="14" t="n">
        <f aca="false">HOUR(TIMEVALUE(L610))</f>
        <v>14</v>
      </c>
      <c r="T610" s="0" t="str">
        <f aca="false">IF(S610&lt;12,"Morning",IF(S610&lt;17,"Afternoon","Evening"))</f>
        <v>Afternoon</v>
      </c>
      <c r="U610" s="16" t="n">
        <f aca="false">G610*H610*0.05</f>
        <v>20.4625</v>
      </c>
    </row>
    <row r="611" customFormat="false" ht="15" hidden="false" customHeight="false" outlineLevel="0" collapsed="false">
      <c r="A611" s="0" t="s">
        <v>1055</v>
      </c>
      <c r="B611" s="0" t="s">
        <v>33</v>
      </c>
      <c r="C611" s="0" t="s">
        <v>65</v>
      </c>
      <c r="D611" s="0" t="s">
        <v>22</v>
      </c>
      <c r="E611" s="0" t="s">
        <v>57</v>
      </c>
      <c r="F611" s="0" t="s">
        <v>35</v>
      </c>
      <c r="G611" s="16" t="n">
        <v>63.08</v>
      </c>
      <c r="H611" s="0" t="n">
        <v>10</v>
      </c>
      <c r="I611" s="16" t="n">
        <f aca="false">G611*H611*0.05</f>
        <v>31.54</v>
      </c>
      <c r="J611" s="16" t="n">
        <f aca="false">G611*H611*1.05</f>
        <v>662.34</v>
      </c>
      <c r="K611" s="17" t="n">
        <v>43520</v>
      </c>
      <c r="L611" s="14" t="s">
        <v>1056</v>
      </c>
      <c r="M611" s="14" t="s">
        <v>30</v>
      </c>
      <c r="N611" s="16" t="n">
        <f aca="false">G611*H611</f>
        <v>630.8</v>
      </c>
      <c r="O611" s="18" t="n">
        <v>4.761904762</v>
      </c>
      <c r="P611" s="16" t="n">
        <f aca="false">I611</f>
        <v>31.54</v>
      </c>
      <c r="Q611" s="19" t="n">
        <v>4.1</v>
      </c>
      <c r="R611" s="0" t="str">
        <f aca="false">TEXT(K611,"mmm yyyy")</f>
        <v>Feb 2019</v>
      </c>
      <c r="S611" s="14" t="n">
        <f aca="false">HOUR(TIMEVALUE(L611))</f>
        <v>11</v>
      </c>
      <c r="T611" s="0" t="str">
        <f aca="false">IF(S611&lt;12,"Morning",IF(S611&lt;17,"Afternoon","Evening"))</f>
        <v>Morning</v>
      </c>
      <c r="U611" s="16" t="n">
        <f aca="false">G611*H611*0.05</f>
        <v>31.54</v>
      </c>
    </row>
    <row r="612" customFormat="false" ht="15" hidden="false" customHeight="false" outlineLevel="0" collapsed="false">
      <c r="A612" s="0" t="s">
        <v>1057</v>
      </c>
      <c r="B612" s="0" t="s">
        <v>29</v>
      </c>
      <c r="C612" s="0" t="s">
        <v>56</v>
      </c>
      <c r="D612" s="0" t="s">
        <v>21</v>
      </c>
      <c r="E612" s="0" t="s">
        <v>60</v>
      </c>
      <c r="F612" s="0" t="s">
        <v>35</v>
      </c>
      <c r="G612" s="16" t="n">
        <v>41.93</v>
      </c>
      <c r="H612" s="0" t="n">
        <v>7</v>
      </c>
      <c r="I612" s="16" t="n">
        <f aca="false">G612*H612*0.05</f>
        <v>14.6755</v>
      </c>
      <c r="J612" s="16" t="n">
        <f aca="false">G612*H612*1.05</f>
        <v>308.1855</v>
      </c>
      <c r="K612" s="17" t="n">
        <v>43520</v>
      </c>
      <c r="L612" s="14" t="s">
        <v>158</v>
      </c>
      <c r="M612" s="14" t="s">
        <v>34</v>
      </c>
      <c r="N612" s="16" t="n">
        <f aca="false">G612*H612</f>
        <v>293.51</v>
      </c>
      <c r="O612" s="18" t="n">
        <v>4.761904762</v>
      </c>
      <c r="P612" s="16" t="n">
        <f aca="false">I612</f>
        <v>14.6755</v>
      </c>
      <c r="Q612" s="19" t="n">
        <v>8.4</v>
      </c>
      <c r="R612" s="0" t="str">
        <f aca="false">TEXT(K612,"mmm yyyy")</f>
        <v>Feb 2019</v>
      </c>
      <c r="S612" s="14" t="n">
        <f aca="false">HOUR(TIMEVALUE(L612))</f>
        <v>15</v>
      </c>
      <c r="T612" s="0" t="str">
        <f aca="false">IF(S612&lt;12,"Morning",IF(S612&lt;17,"Afternoon","Evening"))</f>
        <v>Afternoon</v>
      </c>
      <c r="U612" s="16" t="n">
        <f aca="false">G612*H612*0.05</f>
        <v>14.6755</v>
      </c>
    </row>
    <row r="613" customFormat="false" ht="15" hidden="false" customHeight="false" outlineLevel="0" collapsed="false">
      <c r="A613" s="0" t="s">
        <v>1058</v>
      </c>
      <c r="B613" s="0" t="s">
        <v>33</v>
      </c>
      <c r="C613" s="0" t="s">
        <v>65</v>
      </c>
      <c r="D613" s="0" t="s">
        <v>21</v>
      </c>
      <c r="E613" s="0" t="s">
        <v>57</v>
      </c>
      <c r="F613" s="0" t="s">
        <v>27</v>
      </c>
      <c r="G613" s="16" t="n">
        <v>18.66</v>
      </c>
      <c r="H613" s="0" t="n">
        <v>6</v>
      </c>
      <c r="I613" s="16" t="n">
        <f aca="false">G613*H613*0.05</f>
        <v>5.598</v>
      </c>
      <c r="J613" s="16" t="n">
        <f aca="false">G613*H613*1.05</f>
        <v>117.558</v>
      </c>
      <c r="K613" s="17" t="n">
        <v>43520</v>
      </c>
      <c r="L613" s="14" t="s">
        <v>446</v>
      </c>
      <c r="M613" s="14" t="s">
        <v>34</v>
      </c>
      <c r="N613" s="16" t="n">
        <f aca="false">G613*H613</f>
        <v>111.96</v>
      </c>
      <c r="O613" s="18" t="n">
        <v>4.761904762</v>
      </c>
      <c r="P613" s="16" t="n">
        <f aca="false">I613</f>
        <v>5.598</v>
      </c>
      <c r="Q613" s="19" t="n">
        <v>8.8</v>
      </c>
      <c r="R613" s="0" t="str">
        <f aca="false">TEXT(K613,"mmm yyyy")</f>
        <v>Feb 2019</v>
      </c>
      <c r="S613" s="14" t="n">
        <f aca="false">HOUR(TIMEVALUE(L613))</f>
        <v>20</v>
      </c>
      <c r="T613" s="0" t="str">
        <f aca="false">IF(S613&lt;12,"Morning",IF(S613&lt;17,"Afternoon","Evening"))</f>
        <v>Evening</v>
      </c>
      <c r="U613" s="16" t="n">
        <f aca="false">G613*H613*0.05</f>
        <v>5.598</v>
      </c>
    </row>
    <row r="614" customFormat="false" ht="15" hidden="false" customHeight="false" outlineLevel="0" collapsed="false">
      <c r="A614" s="0" t="s">
        <v>1059</v>
      </c>
      <c r="B614" s="0" t="s">
        <v>25</v>
      </c>
      <c r="C614" s="0" t="s">
        <v>68</v>
      </c>
      <c r="D614" s="0" t="s">
        <v>22</v>
      </c>
      <c r="E614" s="0" t="s">
        <v>57</v>
      </c>
      <c r="F614" s="0" t="s">
        <v>23</v>
      </c>
      <c r="G614" s="16" t="n">
        <v>86.88</v>
      </c>
      <c r="H614" s="0" t="n">
        <v>2</v>
      </c>
      <c r="I614" s="16" t="n">
        <f aca="false">G614*H614*0.05</f>
        <v>8.688</v>
      </c>
      <c r="J614" s="16" t="n">
        <f aca="false">G614*H614*1.05</f>
        <v>182.448</v>
      </c>
      <c r="K614" s="17" t="n">
        <v>43520</v>
      </c>
      <c r="L614" s="14" t="s">
        <v>136</v>
      </c>
      <c r="M614" s="14" t="s">
        <v>34</v>
      </c>
      <c r="N614" s="16" t="n">
        <f aca="false">G614*H614</f>
        <v>173.76</v>
      </c>
      <c r="O614" s="18" t="n">
        <v>4.761904762</v>
      </c>
      <c r="P614" s="16" t="n">
        <f aca="false">I614</f>
        <v>8.688</v>
      </c>
      <c r="Q614" s="19" t="n">
        <v>8.5</v>
      </c>
      <c r="R614" s="0" t="str">
        <f aca="false">TEXT(K614,"mmm yyyy")</f>
        <v>Feb 2019</v>
      </c>
      <c r="S614" s="14" t="n">
        <f aca="false">HOUR(TIMEVALUE(L614))</f>
        <v>13</v>
      </c>
      <c r="T614" s="0" t="str">
        <f aca="false">IF(S614&lt;12,"Morning",IF(S614&lt;17,"Afternoon","Evening"))</f>
        <v>Afternoon</v>
      </c>
      <c r="U614" s="16" t="n">
        <f aca="false">G614*H614*0.05</f>
        <v>8.688</v>
      </c>
    </row>
    <row r="615" customFormat="false" ht="15" hidden="false" customHeight="false" outlineLevel="0" collapsed="false">
      <c r="A615" s="0" t="s">
        <v>1060</v>
      </c>
      <c r="B615" s="0" t="s">
        <v>29</v>
      </c>
      <c r="C615" s="0" t="s">
        <v>56</v>
      </c>
      <c r="D615" s="0" t="s">
        <v>21</v>
      </c>
      <c r="E615" s="0" t="s">
        <v>57</v>
      </c>
      <c r="F615" s="0" t="s">
        <v>37</v>
      </c>
      <c r="G615" s="16" t="n">
        <v>52.56</v>
      </c>
      <c r="H615" s="0" t="n">
        <v>9</v>
      </c>
      <c r="I615" s="16" t="n">
        <f aca="false">G615*H615*0.05</f>
        <v>23.652</v>
      </c>
      <c r="J615" s="16" t="n">
        <f aca="false">G615*H615*1.05</f>
        <v>496.692</v>
      </c>
      <c r="K615" s="17" t="n">
        <v>43520</v>
      </c>
      <c r="L615" s="14" t="s">
        <v>769</v>
      </c>
      <c r="M615" s="14" t="s">
        <v>26</v>
      </c>
      <c r="N615" s="16" t="n">
        <f aca="false">G615*H615</f>
        <v>473.04</v>
      </c>
      <c r="O615" s="18" t="n">
        <v>4.761904762</v>
      </c>
      <c r="P615" s="16" t="n">
        <f aca="false">I615</f>
        <v>23.652</v>
      </c>
      <c r="Q615" s="19" t="n">
        <v>4.1</v>
      </c>
      <c r="R615" s="0" t="str">
        <f aca="false">TEXT(K615,"mmm yyyy")</f>
        <v>Feb 2019</v>
      </c>
      <c r="S615" s="14" t="n">
        <f aca="false">HOUR(TIMEVALUE(L615))</f>
        <v>13</v>
      </c>
      <c r="T615" s="0" t="str">
        <f aca="false">IF(S615&lt;12,"Morning",IF(S615&lt;17,"Afternoon","Evening"))</f>
        <v>Afternoon</v>
      </c>
      <c r="U615" s="16" t="n">
        <f aca="false">G615*H615*0.05</f>
        <v>23.652</v>
      </c>
    </row>
    <row r="616" customFormat="false" ht="15" hidden="false" customHeight="false" outlineLevel="0" collapsed="false">
      <c r="A616" s="0" t="s">
        <v>1061</v>
      </c>
      <c r="B616" s="0" t="s">
        <v>25</v>
      </c>
      <c r="C616" s="0" t="s">
        <v>68</v>
      </c>
      <c r="D616" s="0" t="s">
        <v>22</v>
      </c>
      <c r="E616" s="0" t="s">
        <v>57</v>
      </c>
      <c r="F616" s="0" t="s">
        <v>36</v>
      </c>
      <c r="G616" s="16" t="n">
        <v>80.33</v>
      </c>
      <c r="H616" s="0" t="n">
        <v>1</v>
      </c>
      <c r="I616" s="16" t="n">
        <f aca="false">G616*H616*0.05</f>
        <v>4.0165</v>
      </c>
      <c r="J616" s="16" t="n">
        <f aca="false">G616*H616*1.05</f>
        <v>84.3465</v>
      </c>
      <c r="K616" s="17" t="n">
        <v>43520</v>
      </c>
      <c r="L616" s="14" t="s">
        <v>723</v>
      </c>
      <c r="M616" s="14" t="s">
        <v>34</v>
      </c>
      <c r="N616" s="16" t="n">
        <f aca="false">G616*H616</f>
        <v>80.33</v>
      </c>
      <c r="O616" s="18" t="n">
        <v>4.761904762</v>
      </c>
      <c r="P616" s="16" t="n">
        <f aca="false">I616</f>
        <v>4.0165</v>
      </c>
      <c r="Q616" s="19" t="n">
        <v>9.5</v>
      </c>
      <c r="R616" s="0" t="str">
        <f aca="false">TEXT(K616,"mmm yyyy")</f>
        <v>Feb 2019</v>
      </c>
      <c r="S616" s="14" t="n">
        <f aca="false">HOUR(TIMEVALUE(L616))</f>
        <v>14</v>
      </c>
      <c r="T616" s="0" t="str">
        <f aca="false">IF(S616&lt;12,"Morning",IF(S616&lt;17,"Afternoon","Evening"))</f>
        <v>Afternoon</v>
      </c>
      <c r="U616" s="16" t="n">
        <f aca="false">G616*H616*0.05</f>
        <v>4.0165</v>
      </c>
    </row>
    <row r="617" customFormat="false" ht="15" hidden="false" customHeight="false" outlineLevel="0" collapsed="false">
      <c r="A617" s="0" t="s">
        <v>1062</v>
      </c>
      <c r="B617" s="0" t="s">
        <v>29</v>
      </c>
      <c r="C617" s="0" t="s">
        <v>56</v>
      </c>
      <c r="D617" s="0" t="s">
        <v>22</v>
      </c>
      <c r="E617" s="0" t="s">
        <v>57</v>
      </c>
      <c r="F617" s="0" t="s">
        <v>36</v>
      </c>
      <c r="G617" s="16" t="n">
        <v>64.36</v>
      </c>
      <c r="H617" s="0" t="n">
        <v>1</v>
      </c>
      <c r="I617" s="16" t="n">
        <f aca="false">G617*H617*0.05</f>
        <v>3.218</v>
      </c>
      <c r="J617" s="16" t="n">
        <f aca="false">G617*H617*1.05</f>
        <v>67.578</v>
      </c>
      <c r="K617" s="17" t="n">
        <v>43520</v>
      </c>
      <c r="L617" s="14" t="s">
        <v>200</v>
      </c>
      <c r="M617" s="14" t="s">
        <v>34</v>
      </c>
      <c r="N617" s="16" t="n">
        <f aca="false">G617*H617</f>
        <v>64.36</v>
      </c>
      <c r="O617" s="18" t="n">
        <v>4.761904762</v>
      </c>
      <c r="P617" s="16" t="n">
        <f aca="false">I617</f>
        <v>3.218</v>
      </c>
      <c r="Q617" s="19" t="n">
        <v>6</v>
      </c>
      <c r="R617" s="0" t="str">
        <f aca="false">TEXT(K617,"mmm yyyy")</f>
        <v>Feb 2019</v>
      </c>
      <c r="S617" s="14" t="n">
        <f aca="false">HOUR(TIMEVALUE(L617))</f>
        <v>12</v>
      </c>
      <c r="T617" s="0" t="str">
        <f aca="false">IF(S617&lt;12,"Morning",IF(S617&lt;17,"Afternoon","Evening"))</f>
        <v>Afternoon</v>
      </c>
      <c r="U617" s="16" t="n">
        <f aca="false">G617*H617*0.05</f>
        <v>3.218</v>
      </c>
    </row>
    <row r="618" customFormat="false" ht="15" hidden="false" customHeight="false" outlineLevel="0" collapsed="false">
      <c r="A618" s="0" t="s">
        <v>1063</v>
      </c>
      <c r="B618" s="0" t="s">
        <v>33</v>
      </c>
      <c r="C618" s="0" t="s">
        <v>65</v>
      </c>
      <c r="D618" s="0" t="s">
        <v>22</v>
      </c>
      <c r="E618" s="0" t="s">
        <v>57</v>
      </c>
      <c r="F618" s="0" t="s">
        <v>27</v>
      </c>
      <c r="G618" s="16" t="n">
        <v>10.64</v>
      </c>
      <c r="H618" s="0" t="n">
        <v>1</v>
      </c>
      <c r="I618" s="16" t="n">
        <f aca="false">G618*H618*0.05</f>
        <v>0.532</v>
      </c>
      <c r="J618" s="16" t="n">
        <f aca="false">G618*H618*1.05</f>
        <v>11.172</v>
      </c>
      <c r="K618" s="17" t="n">
        <v>43520</v>
      </c>
      <c r="L618" s="14" t="s">
        <v>246</v>
      </c>
      <c r="M618" s="14" t="s">
        <v>34</v>
      </c>
      <c r="N618" s="16" t="n">
        <f aca="false">G618*H618</f>
        <v>10.64</v>
      </c>
      <c r="O618" s="18" t="n">
        <v>4.761904762</v>
      </c>
      <c r="P618" s="16" t="n">
        <f aca="false">I618</f>
        <v>0.532</v>
      </c>
      <c r="Q618" s="19" t="n">
        <v>4.4</v>
      </c>
      <c r="R618" s="0" t="str">
        <f aca="false">TEXT(K618,"mmm yyyy")</f>
        <v>Feb 2019</v>
      </c>
      <c r="S618" s="14" t="n">
        <f aca="false">HOUR(TIMEVALUE(L618))</f>
        <v>16</v>
      </c>
      <c r="T618" s="0" t="str">
        <f aca="false">IF(S618&lt;12,"Morning",IF(S618&lt;17,"Afternoon","Evening"))</f>
        <v>Afternoon</v>
      </c>
      <c r="U618" s="16" t="n">
        <f aca="false">G618*H618*0.05</f>
        <v>0.532</v>
      </c>
    </row>
    <row r="619" customFormat="false" ht="15" hidden="false" customHeight="false" outlineLevel="0" collapsed="false">
      <c r="A619" s="0" t="s">
        <v>1064</v>
      </c>
      <c r="B619" s="0" t="s">
        <v>33</v>
      </c>
      <c r="C619" s="0" t="s">
        <v>65</v>
      </c>
      <c r="D619" s="0" t="s">
        <v>22</v>
      </c>
      <c r="E619" s="0" t="s">
        <v>60</v>
      </c>
      <c r="F619" s="0" t="s">
        <v>23</v>
      </c>
      <c r="G619" s="16" t="n">
        <v>26.91</v>
      </c>
      <c r="H619" s="0" t="n">
        <v>10</v>
      </c>
      <c r="I619" s="16" t="n">
        <f aca="false">G619*H619*0.05</f>
        <v>13.455</v>
      </c>
      <c r="J619" s="16" t="n">
        <f aca="false">G619*H619*1.05</f>
        <v>282.555</v>
      </c>
      <c r="K619" s="17" t="n">
        <v>43521</v>
      </c>
      <c r="L619" s="14" t="s">
        <v>487</v>
      </c>
      <c r="M619" s="14" t="s">
        <v>34</v>
      </c>
      <c r="N619" s="16" t="n">
        <f aca="false">G619*H619</f>
        <v>269.1</v>
      </c>
      <c r="O619" s="18" t="n">
        <v>4.761904762</v>
      </c>
      <c r="P619" s="16" t="n">
        <f aca="false">I619</f>
        <v>13.455</v>
      </c>
      <c r="Q619" s="19" t="n">
        <v>7</v>
      </c>
      <c r="R619" s="0" t="str">
        <f aca="false">TEXT(K619,"mmm yyyy")</f>
        <v>Feb 2019</v>
      </c>
      <c r="S619" s="14" t="n">
        <f aca="false">HOUR(TIMEVALUE(L619))</f>
        <v>16</v>
      </c>
      <c r="T619" s="0" t="str">
        <f aca="false">IF(S619&lt;12,"Morning",IF(S619&lt;17,"Afternoon","Evening"))</f>
        <v>Afternoon</v>
      </c>
      <c r="U619" s="16" t="n">
        <f aca="false">G619*H619*0.05</f>
        <v>13.455</v>
      </c>
    </row>
    <row r="620" customFormat="false" ht="15" hidden="false" customHeight="false" outlineLevel="0" collapsed="false">
      <c r="A620" s="0" t="s">
        <v>1065</v>
      </c>
      <c r="B620" s="0" t="s">
        <v>25</v>
      </c>
      <c r="C620" s="0" t="s">
        <v>68</v>
      </c>
      <c r="D620" s="0" t="s">
        <v>22</v>
      </c>
      <c r="E620" s="0" t="s">
        <v>57</v>
      </c>
      <c r="F620" s="0" t="s">
        <v>37</v>
      </c>
      <c r="G620" s="16" t="n">
        <v>78.07</v>
      </c>
      <c r="H620" s="0" t="n">
        <v>9</v>
      </c>
      <c r="I620" s="16" t="n">
        <f aca="false">G620*H620*0.05</f>
        <v>35.1315</v>
      </c>
      <c r="J620" s="16" t="n">
        <f aca="false">G620*H620*1.05</f>
        <v>737.7615</v>
      </c>
      <c r="K620" s="17" t="n">
        <v>43521</v>
      </c>
      <c r="L620" s="14" t="s">
        <v>1066</v>
      </c>
      <c r="M620" s="14" t="s">
        <v>30</v>
      </c>
      <c r="N620" s="16" t="n">
        <f aca="false">G620*H620</f>
        <v>702.63</v>
      </c>
      <c r="O620" s="18" t="n">
        <v>4.761904762</v>
      </c>
      <c r="P620" s="16" t="n">
        <f aca="false">I620</f>
        <v>35.1315</v>
      </c>
      <c r="Q620" s="19" t="n">
        <v>8.6</v>
      </c>
      <c r="R620" s="0" t="str">
        <f aca="false">TEXT(K620,"mmm yyyy")</f>
        <v>Feb 2019</v>
      </c>
      <c r="S620" s="14" t="n">
        <f aca="false">HOUR(TIMEVALUE(L620))</f>
        <v>17</v>
      </c>
      <c r="T620" s="0" t="str">
        <f aca="false">IF(S620&lt;12,"Morning",IF(S620&lt;17,"Afternoon","Evening"))</f>
        <v>Evening</v>
      </c>
      <c r="U620" s="16" t="n">
        <f aca="false">G620*H620*0.05</f>
        <v>35.1315</v>
      </c>
    </row>
    <row r="621" customFormat="false" ht="15" hidden="false" customHeight="false" outlineLevel="0" collapsed="false">
      <c r="A621" s="0" t="s">
        <v>1067</v>
      </c>
      <c r="B621" s="0" t="s">
        <v>33</v>
      </c>
      <c r="C621" s="0" t="s">
        <v>65</v>
      </c>
      <c r="D621" s="0" t="s">
        <v>22</v>
      </c>
      <c r="E621" s="0" t="s">
        <v>57</v>
      </c>
      <c r="F621" s="0" t="s">
        <v>27</v>
      </c>
      <c r="G621" s="16" t="n">
        <v>89.02</v>
      </c>
      <c r="H621" s="0" t="n">
        <v>7</v>
      </c>
      <c r="I621" s="16" t="n">
        <f aca="false">G621*H621*0.05</f>
        <v>31.157</v>
      </c>
      <c r="J621" s="16" t="n">
        <f aca="false">G621*H621*1.05</f>
        <v>654.297</v>
      </c>
      <c r="K621" s="17" t="n">
        <v>43521</v>
      </c>
      <c r="L621" s="14" t="s">
        <v>1068</v>
      </c>
      <c r="M621" s="14" t="s">
        <v>30</v>
      </c>
      <c r="N621" s="16" t="n">
        <f aca="false">G621*H621</f>
        <v>623.14</v>
      </c>
      <c r="O621" s="18" t="n">
        <v>4.761904762</v>
      </c>
      <c r="P621" s="16" t="n">
        <f aca="false">I621</f>
        <v>31.157</v>
      </c>
      <c r="Q621" s="19" t="n">
        <v>6.9</v>
      </c>
      <c r="R621" s="0" t="str">
        <f aca="false">TEXT(K621,"mmm yyyy")</f>
        <v>Feb 2019</v>
      </c>
      <c r="S621" s="14" t="n">
        <f aca="false">HOUR(TIMEVALUE(L621))</f>
        <v>19</v>
      </c>
      <c r="T621" s="0" t="str">
        <f aca="false">IF(S621&lt;12,"Morning",IF(S621&lt;17,"Afternoon","Evening"))</f>
        <v>Evening</v>
      </c>
      <c r="U621" s="16" t="n">
        <f aca="false">G621*H621*0.05</f>
        <v>31.157</v>
      </c>
    </row>
    <row r="622" customFormat="false" ht="15" hidden="false" customHeight="false" outlineLevel="0" collapsed="false">
      <c r="A622" s="0" t="s">
        <v>1069</v>
      </c>
      <c r="B622" s="0" t="s">
        <v>29</v>
      </c>
      <c r="C622" s="0" t="s">
        <v>56</v>
      </c>
      <c r="D622" s="0" t="s">
        <v>22</v>
      </c>
      <c r="E622" s="0" t="s">
        <v>60</v>
      </c>
      <c r="F622" s="0" t="s">
        <v>36</v>
      </c>
      <c r="G622" s="16" t="n">
        <v>59.41</v>
      </c>
      <c r="H622" s="0" t="n">
        <v>4</v>
      </c>
      <c r="I622" s="16" t="n">
        <f aca="false">G622*H622*0.05</f>
        <v>11.882</v>
      </c>
      <c r="J622" s="16" t="n">
        <f aca="false">G622*H622*1.05</f>
        <v>249.522</v>
      </c>
      <c r="K622" s="17" t="n">
        <v>43521</v>
      </c>
      <c r="L622" s="14" t="s">
        <v>550</v>
      </c>
      <c r="M622" s="14" t="s">
        <v>34</v>
      </c>
      <c r="N622" s="16" t="n">
        <f aca="false">G622*H622</f>
        <v>237.64</v>
      </c>
      <c r="O622" s="18" t="n">
        <v>4.761904762</v>
      </c>
      <c r="P622" s="16" t="n">
        <f aca="false">I622</f>
        <v>11.882</v>
      </c>
      <c r="Q622" s="19" t="n">
        <v>6.6</v>
      </c>
      <c r="R622" s="0" t="str">
        <f aca="false">TEXT(K622,"mmm yyyy")</f>
        <v>Feb 2019</v>
      </c>
      <c r="S622" s="14" t="n">
        <f aca="false">HOUR(TIMEVALUE(L622))</f>
        <v>14</v>
      </c>
      <c r="T622" s="0" t="str">
        <f aca="false">IF(S622&lt;12,"Morning",IF(S622&lt;17,"Afternoon","Evening"))</f>
        <v>Afternoon</v>
      </c>
      <c r="U622" s="16" t="n">
        <f aca="false">G622*H622*0.05</f>
        <v>11.882</v>
      </c>
    </row>
    <row r="623" customFormat="false" ht="15" hidden="false" customHeight="false" outlineLevel="0" collapsed="false">
      <c r="A623" s="0" t="s">
        <v>1070</v>
      </c>
      <c r="B623" s="0" t="s">
        <v>33</v>
      </c>
      <c r="C623" s="0" t="s">
        <v>65</v>
      </c>
      <c r="D623" s="0" t="s">
        <v>21</v>
      </c>
      <c r="E623" s="0" t="s">
        <v>57</v>
      </c>
      <c r="F623" s="0" t="s">
        <v>37</v>
      </c>
      <c r="G623" s="16" t="n">
        <v>16.52</v>
      </c>
      <c r="H623" s="0" t="n">
        <v>6</v>
      </c>
      <c r="I623" s="16" t="n">
        <f aca="false">G623*H623*0.05</f>
        <v>4.956</v>
      </c>
      <c r="J623" s="16" t="n">
        <f aca="false">G623*H623*1.05</f>
        <v>104.076</v>
      </c>
      <c r="K623" s="17" t="n">
        <v>43521</v>
      </c>
      <c r="L623" s="14" t="s">
        <v>1071</v>
      </c>
      <c r="M623" s="14" t="s">
        <v>26</v>
      </c>
      <c r="N623" s="16" t="n">
        <f aca="false">G623*H623</f>
        <v>99.12</v>
      </c>
      <c r="O623" s="18" t="n">
        <v>4.761904762</v>
      </c>
      <c r="P623" s="16" t="n">
        <f aca="false">I623</f>
        <v>4.956</v>
      </c>
      <c r="Q623" s="19" t="n">
        <v>6.7</v>
      </c>
      <c r="R623" s="0" t="str">
        <f aca="false">TEXT(K623,"mmm yyyy")</f>
        <v>Feb 2019</v>
      </c>
      <c r="S623" s="14" t="n">
        <f aca="false">HOUR(TIMEVALUE(L623))</f>
        <v>19</v>
      </c>
      <c r="T623" s="0" t="str">
        <f aca="false">IF(S623&lt;12,"Morning",IF(S623&lt;17,"Afternoon","Evening"))</f>
        <v>Evening</v>
      </c>
      <c r="U623" s="16" t="n">
        <f aca="false">G623*H623*0.05</f>
        <v>4.956</v>
      </c>
    </row>
    <row r="624" customFormat="false" ht="15" hidden="false" customHeight="false" outlineLevel="0" collapsed="false">
      <c r="A624" s="0" t="s">
        <v>1072</v>
      </c>
      <c r="B624" s="0" t="s">
        <v>33</v>
      </c>
      <c r="C624" s="0" t="s">
        <v>65</v>
      </c>
      <c r="D624" s="0" t="s">
        <v>22</v>
      </c>
      <c r="E624" s="0" t="s">
        <v>57</v>
      </c>
      <c r="F624" s="0" t="s">
        <v>23</v>
      </c>
      <c r="G624" s="16" t="n">
        <v>75.16</v>
      </c>
      <c r="H624" s="0" t="n">
        <v>6</v>
      </c>
      <c r="I624" s="16" t="n">
        <f aca="false">G624*H624*0.05</f>
        <v>22.548</v>
      </c>
      <c r="J624" s="16" t="n">
        <f aca="false">G624*H624*1.05</f>
        <v>473.508</v>
      </c>
      <c r="K624" s="17" t="n">
        <v>43521</v>
      </c>
      <c r="L624" s="14" t="s">
        <v>1073</v>
      </c>
      <c r="M624" s="14" t="s">
        <v>26</v>
      </c>
      <c r="N624" s="16" t="n">
        <f aca="false">G624*H624</f>
        <v>450.96</v>
      </c>
      <c r="O624" s="18" t="n">
        <v>4.761904762</v>
      </c>
      <c r="P624" s="16" t="n">
        <f aca="false">I624</f>
        <v>22.548</v>
      </c>
      <c r="Q624" s="19" t="n">
        <v>5.2</v>
      </c>
      <c r="R624" s="0" t="str">
        <f aca="false">TEXT(K624,"mmm yyyy")</f>
        <v>Feb 2019</v>
      </c>
      <c r="S624" s="14" t="n">
        <f aca="false">HOUR(TIMEVALUE(L624))</f>
        <v>17</v>
      </c>
      <c r="T624" s="0" t="str">
        <f aca="false">IF(S624&lt;12,"Morning",IF(S624&lt;17,"Afternoon","Evening"))</f>
        <v>Evening</v>
      </c>
      <c r="U624" s="16" t="n">
        <f aca="false">G624*H624*0.05</f>
        <v>22.548</v>
      </c>
    </row>
    <row r="625" customFormat="false" ht="15" hidden="false" customHeight="false" outlineLevel="0" collapsed="false">
      <c r="A625" s="0" t="s">
        <v>1074</v>
      </c>
      <c r="B625" s="0" t="s">
        <v>33</v>
      </c>
      <c r="C625" s="0" t="s">
        <v>65</v>
      </c>
      <c r="D625" s="0" t="s">
        <v>21</v>
      </c>
      <c r="E625" s="0" t="s">
        <v>60</v>
      </c>
      <c r="F625" s="0" t="s">
        <v>35</v>
      </c>
      <c r="G625" s="16" t="n">
        <v>14.8</v>
      </c>
      <c r="H625" s="0" t="n">
        <v>1</v>
      </c>
      <c r="I625" s="16" t="n">
        <f aca="false">G625*H625*0.05</f>
        <v>0.74</v>
      </c>
      <c r="J625" s="16" t="n">
        <f aca="false">G625*H625*1.05</f>
        <v>15.54</v>
      </c>
      <c r="K625" s="17" t="n">
        <v>43521</v>
      </c>
      <c r="L625" s="14" t="s">
        <v>196</v>
      </c>
      <c r="M625" s="14" t="s">
        <v>34</v>
      </c>
      <c r="N625" s="16" t="n">
        <f aca="false">G625*H625</f>
        <v>14.8</v>
      </c>
      <c r="O625" s="18" t="n">
        <v>4.761904762</v>
      </c>
      <c r="P625" s="16" t="n">
        <f aca="false">I625</f>
        <v>0.74</v>
      </c>
      <c r="Q625" s="19" t="n">
        <v>7</v>
      </c>
      <c r="R625" s="0" t="str">
        <f aca="false">TEXT(K625,"mmm yyyy")</f>
        <v>Feb 2019</v>
      </c>
      <c r="S625" s="14" t="n">
        <f aca="false">HOUR(TIMEVALUE(L625))</f>
        <v>17</v>
      </c>
      <c r="T625" s="0" t="str">
        <f aca="false">IF(S625&lt;12,"Morning",IF(S625&lt;17,"Afternoon","Evening"))</f>
        <v>Evening</v>
      </c>
      <c r="U625" s="16" t="n">
        <f aca="false">G625*H625*0.05</f>
        <v>0.74</v>
      </c>
    </row>
    <row r="626" customFormat="false" ht="15" hidden="false" customHeight="false" outlineLevel="0" collapsed="false">
      <c r="A626" s="0" t="s">
        <v>1075</v>
      </c>
      <c r="B626" s="0" t="s">
        <v>33</v>
      </c>
      <c r="C626" s="0" t="s">
        <v>65</v>
      </c>
      <c r="D626" s="0" t="s">
        <v>21</v>
      </c>
      <c r="E626" s="0" t="s">
        <v>57</v>
      </c>
      <c r="F626" s="0" t="s">
        <v>36</v>
      </c>
      <c r="G626" s="16" t="n">
        <v>57.95</v>
      </c>
      <c r="H626" s="0" t="n">
        <v>3</v>
      </c>
      <c r="I626" s="16" t="n">
        <f aca="false">G626*H626*0.05</f>
        <v>8.6925</v>
      </c>
      <c r="J626" s="16" t="n">
        <f aca="false">G626*H626*1.05</f>
        <v>182.5425</v>
      </c>
      <c r="K626" s="17" t="n">
        <v>43521</v>
      </c>
      <c r="L626" s="14" t="s">
        <v>89</v>
      </c>
      <c r="M626" s="14" t="s">
        <v>26</v>
      </c>
      <c r="N626" s="16" t="n">
        <f aca="false">G626*H626</f>
        <v>173.85</v>
      </c>
      <c r="O626" s="18" t="n">
        <v>4.761904762</v>
      </c>
      <c r="P626" s="16" t="n">
        <f aca="false">I626</f>
        <v>8.6925</v>
      </c>
      <c r="Q626" s="19" t="n">
        <v>7</v>
      </c>
      <c r="R626" s="0" t="str">
        <f aca="false">TEXT(K626,"mmm yyyy")</f>
        <v>Feb 2019</v>
      </c>
      <c r="S626" s="14" t="n">
        <f aca="false">HOUR(TIMEVALUE(L626))</f>
        <v>17</v>
      </c>
      <c r="T626" s="0" t="str">
        <f aca="false">IF(S626&lt;12,"Morning",IF(S626&lt;17,"Afternoon","Evening"))</f>
        <v>Evening</v>
      </c>
      <c r="U626" s="16" t="n">
        <f aca="false">G626*H626*0.05</f>
        <v>8.6925</v>
      </c>
    </row>
    <row r="627" customFormat="false" ht="15" hidden="false" customHeight="false" outlineLevel="0" collapsed="false">
      <c r="A627" s="0" t="s">
        <v>1076</v>
      </c>
      <c r="B627" s="0" t="s">
        <v>25</v>
      </c>
      <c r="C627" s="0" t="s">
        <v>68</v>
      </c>
      <c r="D627" s="0" t="s">
        <v>21</v>
      </c>
      <c r="E627" s="0" t="s">
        <v>57</v>
      </c>
      <c r="F627" s="0" t="s">
        <v>23</v>
      </c>
      <c r="G627" s="16" t="n">
        <v>63.66</v>
      </c>
      <c r="H627" s="0" t="n">
        <v>2</v>
      </c>
      <c r="I627" s="16" t="n">
        <f aca="false">G627*H627*0.05</f>
        <v>6.366</v>
      </c>
      <c r="J627" s="16" t="n">
        <f aca="false">G627*H627*1.05</f>
        <v>133.686</v>
      </c>
      <c r="K627" s="17" t="n">
        <v>43521</v>
      </c>
      <c r="L627" s="14" t="s">
        <v>1077</v>
      </c>
      <c r="M627" s="14" t="s">
        <v>26</v>
      </c>
      <c r="N627" s="16" t="n">
        <f aca="false">G627*H627</f>
        <v>127.32</v>
      </c>
      <c r="O627" s="18" t="n">
        <v>4.761904762</v>
      </c>
      <c r="P627" s="16" t="n">
        <f aca="false">I627</f>
        <v>6.366</v>
      </c>
      <c r="Q627" s="19" t="n">
        <v>5.6</v>
      </c>
      <c r="R627" s="0" t="str">
        <f aca="false">TEXT(K627,"mmm yyyy")</f>
        <v>Feb 2019</v>
      </c>
      <c r="S627" s="14" t="n">
        <f aca="false">HOUR(TIMEVALUE(L627))</f>
        <v>20</v>
      </c>
      <c r="T627" s="0" t="str">
        <f aca="false">IF(S627&lt;12,"Morning",IF(S627&lt;17,"Afternoon","Evening"))</f>
        <v>Evening</v>
      </c>
      <c r="U627" s="16" t="n">
        <f aca="false">G627*H627*0.05</f>
        <v>6.366</v>
      </c>
    </row>
    <row r="628" customFormat="false" ht="15" hidden="false" customHeight="false" outlineLevel="0" collapsed="false">
      <c r="A628" s="0" t="s">
        <v>1078</v>
      </c>
      <c r="B628" s="0" t="s">
        <v>25</v>
      </c>
      <c r="C628" s="0" t="s">
        <v>68</v>
      </c>
      <c r="D628" s="0" t="s">
        <v>21</v>
      </c>
      <c r="E628" s="0" t="s">
        <v>60</v>
      </c>
      <c r="F628" s="0" t="s">
        <v>36</v>
      </c>
      <c r="G628" s="16" t="n">
        <v>55.54</v>
      </c>
      <c r="H628" s="0" t="n">
        <v>2</v>
      </c>
      <c r="I628" s="16" t="n">
        <f aca="false">G628*H628*0.05</f>
        <v>5.554</v>
      </c>
      <c r="J628" s="16" t="n">
        <f aca="false">G628*H628*1.05</f>
        <v>116.634</v>
      </c>
      <c r="K628" s="17" t="n">
        <v>43521</v>
      </c>
      <c r="L628" s="14" t="s">
        <v>81</v>
      </c>
      <c r="M628" s="14" t="s">
        <v>26</v>
      </c>
      <c r="N628" s="16" t="n">
        <f aca="false">G628*H628</f>
        <v>111.08</v>
      </c>
      <c r="O628" s="18" t="n">
        <v>4.761904762</v>
      </c>
      <c r="P628" s="16" t="n">
        <f aca="false">I628</f>
        <v>5.554</v>
      </c>
      <c r="Q628" s="19" t="n">
        <v>9.9</v>
      </c>
      <c r="R628" s="0" t="str">
        <f aca="false">TEXT(K628,"mmm yyyy")</f>
        <v>Feb 2019</v>
      </c>
      <c r="S628" s="14" t="n">
        <f aca="false">HOUR(TIMEVALUE(L628))</f>
        <v>16</v>
      </c>
      <c r="T628" s="0" t="str">
        <f aca="false">IF(S628&lt;12,"Morning",IF(S628&lt;17,"Afternoon","Evening"))</f>
        <v>Afternoon</v>
      </c>
      <c r="U628" s="16" t="n">
        <f aca="false">G628*H628*0.05</f>
        <v>5.554</v>
      </c>
    </row>
    <row r="629" customFormat="false" ht="15" hidden="false" customHeight="false" outlineLevel="0" collapsed="false">
      <c r="A629" s="0" t="s">
        <v>1079</v>
      </c>
      <c r="B629" s="0" t="s">
        <v>29</v>
      </c>
      <c r="C629" s="0" t="s">
        <v>56</v>
      </c>
      <c r="D629" s="0" t="s">
        <v>22</v>
      </c>
      <c r="E629" s="0" t="s">
        <v>60</v>
      </c>
      <c r="F629" s="0" t="s">
        <v>23</v>
      </c>
      <c r="G629" s="16" t="n">
        <v>30.28</v>
      </c>
      <c r="H629" s="0" t="n">
        <v>4</v>
      </c>
      <c r="I629" s="16" t="n">
        <f aca="false">G629*H629*0.05</f>
        <v>6.056</v>
      </c>
      <c r="J629" s="16" t="n">
        <f aca="false">G629*H629*1.05</f>
        <v>127.176</v>
      </c>
      <c r="K629" s="17" t="n">
        <v>43522</v>
      </c>
      <c r="L629" s="14" t="s">
        <v>1080</v>
      </c>
      <c r="M629" s="14" t="s">
        <v>30</v>
      </c>
      <c r="N629" s="16" t="n">
        <f aca="false">G629*H629</f>
        <v>121.12</v>
      </c>
      <c r="O629" s="18" t="n">
        <v>4.761904762</v>
      </c>
      <c r="P629" s="16" t="n">
        <f aca="false">I629</f>
        <v>6.056</v>
      </c>
      <c r="Q629" s="19" t="n">
        <v>9</v>
      </c>
      <c r="R629" s="0" t="str">
        <f aca="false">TEXT(K629,"mmm yyyy")</f>
        <v>Feb 2019</v>
      </c>
      <c r="S629" s="14" t="n">
        <f aca="false">HOUR(TIMEVALUE(L629))</f>
        <v>11</v>
      </c>
      <c r="T629" s="0" t="str">
        <f aca="false">IF(S629&lt;12,"Morning",IF(S629&lt;17,"Afternoon","Evening"))</f>
        <v>Morning</v>
      </c>
      <c r="U629" s="16" t="n">
        <f aca="false">G629*H629*0.05</f>
        <v>6.056</v>
      </c>
    </row>
    <row r="630" customFormat="false" ht="15" hidden="false" customHeight="false" outlineLevel="0" collapsed="false">
      <c r="A630" s="0" t="s">
        <v>1081</v>
      </c>
      <c r="B630" s="0" t="s">
        <v>25</v>
      </c>
      <c r="C630" s="0" t="s">
        <v>68</v>
      </c>
      <c r="D630" s="0" t="s">
        <v>21</v>
      </c>
      <c r="E630" s="0" t="s">
        <v>60</v>
      </c>
      <c r="F630" s="0" t="s">
        <v>35</v>
      </c>
      <c r="G630" s="16" t="n">
        <v>35.07</v>
      </c>
      <c r="H630" s="0" t="n">
        <v>3</v>
      </c>
      <c r="I630" s="16" t="n">
        <f aca="false">G630*H630*0.05</f>
        <v>5.2605</v>
      </c>
      <c r="J630" s="16" t="n">
        <f aca="false">G630*H630*1.05</f>
        <v>110.4705</v>
      </c>
      <c r="K630" s="17" t="n">
        <v>43522</v>
      </c>
      <c r="L630" s="14" t="s">
        <v>1082</v>
      </c>
      <c r="M630" s="14" t="s">
        <v>30</v>
      </c>
      <c r="N630" s="16" t="n">
        <f aca="false">G630*H630</f>
        <v>105.21</v>
      </c>
      <c r="O630" s="18" t="n">
        <v>4.761904762</v>
      </c>
      <c r="P630" s="16" t="n">
        <f aca="false">I630</f>
        <v>5.2605</v>
      </c>
      <c r="Q630" s="19" t="n">
        <v>4.9</v>
      </c>
      <c r="R630" s="0" t="str">
        <f aca="false">TEXT(K630,"mmm yyyy")</f>
        <v>Feb 2019</v>
      </c>
      <c r="S630" s="14" t="n">
        <f aca="false">HOUR(TIMEVALUE(L630))</f>
        <v>13</v>
      </c>
      <c r="T630" s="0" t="str">
        <f aca="false">IF(S630&lt;12,"Morning",IF(S630&lt;17,"Afternoon","Evening"))</f>
        <v>Afternoon</v>
      </c>
      <c r="U630" s="16" t="n">
        <f aca="false">G630*H630*0.05</f>
        <v>5.2605</v>
      </c>
    </row>
    <row r="631" customFormat="false" ht="15" hidden="false" customHeight="false" outlineLevel="0" collapsed="false">
      <c r="A631" s="0" t="s">
        <v>1083</v>
      </c>
      <c r="B631" s="0" t="s">
        <v>25</v>
      </c>
      <c r="C631" s="0" t="s">
        <v>68</v>
      </c>
      <c r="D631" s="0" t="s">
        <v>21</v>
      </c>
      <c r="E631" s="0" t="s">
        <v>57</v>
      </c>
      <c r="F631" s="0" t="s">
        <v>36</v>
      </c>
      <c r="G631" s="16" t="n">
        <v>49.69</v>
      </c>
      <c r="H631" s="0" t="n">
        <v>5</v>
      </c>
      <c r="I631" s="16" t="n">
        <f aca="false">G631*H631*0.05</f>
        <v>12.4225</v>
      </c>
      <c r="J631" s="16" t="n">
        <f aca="false">G631*H631*1.05</f>
        <v>260.8725</v>
      </c>
      <c r="K631" s="17" t="n">
        <v>43522</v>
      </c>
      <c r="L631" s="14" t="s">
        <v>190</v>
      </c>
      <c r="M631" s="14" t="s">
        <v>30</v>
      </c>
      <c r="N631" s="16" t="n">
        <f aca="false">G631*H631</f>
        <v>248.45</v>
      </c>
      <c r="O631" s="18" t="n">
        <v>4.761904762</v>
      </c>
      <c r="P631" s="16" t="n">
        <f aca="false">I631</f>
        <v>12.4225</v>
      </c>
      <c r="Q631" s="19" t="n">
        <v>7.4</v>
      </c>
      <c r="R631" s="0" t="str">
        <f aca="false">TEXT(K631,"mmm yyyy")</f>
        <v>Feb 2019</v>
      </c>
      <c r="S631" s="14" t="n">
        <f aca="false">HOUR(TIMEVALUE(L631))</f>
        <v>12</v>
      </c>
      <c r="T631" s="0" t="str">
        <f aca="false">IF(S631&lt;12,"Morning",IF(S631&lt;17,"Afternoon","Evening"))</f>
        <v>Afternoon</v>
      </c>
      <c r="U631" s="16" t="n">
        <f aca="false">G631*H631*0.05</f>
        <v>12.4225</v>
      </c>
    </row>
    <row r="632" customFormat="false" ht="15" hidden="false" customHeight="false" outlineLevel="0" collapsed="false">
      <c r="A632" s="0" t="s">
        <v>1084</v>
      </c>
      <c r="B632" s="0" t="s">
        <v>29</v>
      </c>
      <c r="C632" s="0" t="s">
        <v>56</v>
      </c>
      <c r="D632" s="0" t="s">
        <v>21</v>
      </c>
      <c r="E632" s="0" t="s">
        <v>57</v>
      </c>
      <c r="F632" s="0" t="s">
        <v>36</v>
      </c>
      <c r="G632" s="16" t="n">
        <v>38.84</v>
      </c>
      <c r="H632" s="0" t="n">
        <v>7</v>
      </c>
      <c r="I632" s="16" t="n">
        <f aca="false">G632*H632*0.05</f>
        <v>13.594</v>
      </c>
      <c r="J632" s="16" t="n">
        <f aca="false">G632*H632*1.05</f>
        <v>285.474</v>
      </c>
      <c r="K632" s="17" t="n">
        <v>43522</v>
      </c>
      <c r="L632" s="14" t="s">
        <v>787</v>
      </c>
      <c r="M632" s="14" t="s">
        <v>30</v>
      </c>
      <c r="N632" s="16" t="n">
        <f aca="false">G632*H632</f>
        <v>271.88</v>
      </c>
      <c r="O632" s="18" t="n">
        <v>4.761904762</v>
      </c>
      <c r="P632" s="16" t="n">
        <f aca="false">I632</f>
        <v>13.594</v>
      </c>
      <c r="Q632" s="19" t="n">
        <v>5.5</v>
      </c>
      <c r="R632" s="0" t="str">
        <f aca="false">TEXT(K632,"mmm yyyy")</f>
        <v>Feb 2019</v>
      </c>
      <c r="S632" s="14" t="n">
        <f aca="false">HOUR(TIMEVALUE(L632))</f>
        <v>11</v>
      </c>
      <c r="T632" s="0" t="str">
        <f aca="false">IF(S632&lt;12,"Morning",IF(S632&lt;17,"Afternoon","Evening"))</f>
        <v>Morning</v>
      </c>
      <c r="U632" s="16" t="n">
        <f aca="false">G632*H632*0.05</f>
        <v>13.594</v>
      </c>
    </row>
    <row r="633" customFormat="false" ht="15" hidden="false" customHeight="false" outlineLevel="0" collapsed="false">
      <c r="A633" s="0" t="s">
        <v>1085</v>
      </c>
      <c r="B633" s="0" t="s">
        <v>25</v>
      </c>
      <c r="C633" s="0" t="s">
        <v>68</v>
      </c>
      <c r="D633" s="0" t="s">
        <v>22</v>
      </c>
      <c r="E633" s="0" t="s">
        <v>60</v>
      </c>
      <c r="F633" s="0" t="s">
        <v>23</v>
      </c>
      <c r="G633" s="16" t="n">
        <v>92.39</v>
      </c>
      <c r="H633" s="0" t="n">
        <v>5</v>
      </c>
      <c r="I633" s="16" t="n">
        <f aca="false">G633*H633*0.05</f>
        <v>23.0975</v>
      </c>
      <c r="J633" s="16" t="n">
        <f aca="false">G633*H633*1.05</f>
        <v>485.0475</v>
      </c>
      <c r="K633" s="17" t="n">
        <v>43522</v>
      </c>
      <c r="L633" s="14" t="s">
        <v>1086</v>
      </c>
      <c r="M633" s="14" t="s">
        <v>26</v>
      </c>
      <c r="N633" s="16" t="n">
        <f aca="false">G633*H633</f>
        <v>461.95</v>
      </c>
      <c r="O633" s="18" t="n">
        <v>4.761904762</v>
      </c>
      <c r="P633" s="16" t="n">
        <f aca="false">I633</f>
        <v>23.0975</v>
      </c>
      <c r="Q633" s="19" t="n">
        <v>6</v>
      </c>
      <c r="R633" s="0" t="str">
        <f aca="false">TEXT(K633,"mmm yyyy")</f>
        <v>Feb 2019</v>
      </c>
      <c r="S633" s="14" t="n">
        <f aca="false">HOUR(TIMEVALUE(L633))</f>
        <v>14</v>
      </c>
      <c r="T633" s="0" t="str">
        <f aca="false">IF(S633&lt;12,"Morning",IF(S633&lt;17,"Afternoon","Evening"))</f>
        <v>Afternoon</v>
      </c>
      <c r="U633" s="16" t="n">
        <f aca="false">G633*H633*0.05</f>
        <v>23.0975</v>
      </c>
    </row>
    <row r="634" customFormat="false" ht="15" hidden="false" customHeight="false" outlineLevel="0" collapsed="false">
      <c r="A634" s="0" t="s">
        <v>1087</v>
      </c>
      <c r="B634" s="0" t="s">
        <v>33</v>
      </c>
      <c r="C634" s="0" t="s">
        <v>65</v>
      </c>
      <c r="D634" s="0" t="s">
        <v>22</v>
      </c>
      <c r="E634" s="0" t="s">
        <v>57</v>
      </c>
      <c r="F634" s="0" t="s">
        <v>35</v>
      </c>
      <c r="G634" s="16" t="n">
        <v>51.8</v>
      </c>
      <c r="H634" s="0" t="n">
        <v>6</v>
      </c>
      <c r="I634" s="16" t="n">
        <f aca="false">G634*H634*0.05</f>
        <v>15.54</v>
      </c>
      <c r="J634" s="16" t="n">
        <f aca="false">G634*H634*1.05</f>
        <v>326.34</v>
      </c>
      <c r="K634" s="17" t="n">
        <v>43522</v>
      </c>
      <c r="L634" s="14" t="s">
        <v>992</v>
      </c>
      <c r="M634" s="14" t="s">
        <v>34</v>
      </c>
      <c r="N634" s="16" t="n">
        <f aca="false">G634*H634</f>
        <v>310.8</v>
      </c>
      <c r="O634" s="18" t="n">
        <v>4.761904762</v>
      </c>
      <c r="P634" s="16" t="n">
        <f aca="false">I634</f>
        <v>15.54</v>
      </c>
      <c r="Q634" s="19" t="n">
        <v>9.7</v>
      </c>
      <c r="R634" s="0" t="str">
        <f aca="false">TEXT(K634,"mmm yyyy")</f>
        <v>Feb 2019</v>
      </c>
      <c r="S634" s="14" t="n">
        <f aca="false">HOUR(TIMEVALUE(L634))</f>
        <v>15</v>
      </c>
      <c r="T634" s="0" t="str">
        <f aca="false">IF(S634&lt;12,"Morning",IF(S634&lt;17,"Afternoon","Evening"))</f>
        <v>Afternoon</v>
      </c>
      <c r="U634" s="16" t="n">
        <f aca="false">G634*H634*0.05</f>
        <v>15.54</v>
      </c>
    </row>
    <row r="635" customFormat="false" ht="15" hidden="false" customHeight="false" outlineLevel="0" collapsed="false">
      <c r="A635" s="0" t="s">
        <v>1088</v>
      </c>
      <c r="B635" s="0" t="s">
        <v>29</v>
      </c>
      <c r="C635" s="0" t="s">
        <v>56</v>
      </c>
      <c r="D635" s="0" t="s">
        <v>22</v>
      </c>
      <c r="E635" s="0" t="s">
        <v>57</v>
      </c>
      <c r="F635" s="0" t="s">
        <v>36</v>
      </c>
      <c r="G635" s="16" t="n">
        <v>63.68</v>
      </c>
      <c r="H635" s="0" t="n">
        <v>6</v>
      </c>
      <c r="I635" s="16" t="n">
        <f aca="false">G635*H635*0.05</f>
        <v>19.104</v>
      </c>
      <c r="J635" s="16" t="n">
        <f aca="false">G635*H635*1.05</f>
        <v>401.184</v>
      </c>
      <c r="K635" s="17" t="n">
        <v>43522</v>
      </c>
      <c r="L635" s="14" t="s">
        <v>1089</v>
      </c>
      <c r="M635" s="14" t="s">
        <v>34</v>
      </c>
      <c r="N635" s="16" t="n">
        <f aca="false">G635*H635</f>
        <v>382.08</v>
      </c>
      <c r="O635" s="18" t="n">
        <v>4.761904762</v>
      </c>
      <c r="P635" s="16" t="n">
        <f aca="false">I635</f>
        <v>19.104</v>
      </c>
      <c r="Q635" s="19" t="n">
        <v>5.9</v>
      </c>
      <c r="R635" s="0" t="str">
        <f aca="false">TEXT(K635,"mmm yyyy")</f>
        <v>Feb 2019</v>
      </c>
      <c r="S635" s="14" t="n">
        <f aca="false">HOUR(TIMEVALUE(L635))</f>
        <v>17</v>
      </c>
      <c r="T635" s="0" t="str">
        <f aca="false">IF(S635&lt;12,"Morning",IF(S635&lt;17,"Afternoon","Evening"))</f>
        <v>Evening</v>
      </c>
      <c r="U635" s="16" t="n">
        <f aca="false">G635*H635*0.05</f>
        <v>19.104</v>
      </c>
    </row>
    <row r="636" customFormat="false" ht="15" hidden="false" customHeight="false" outlineLevel="0" collapsed="false">
      <c r="A636" s="0" t="s">
        <v>1090</v>
      </c>
      <c r="B636" s="0" t="s">
        <v>33</v>
      </c>
      <c r="C636" s="0" t="s">
        <v>65</v>
      </c>
      <c r="D636" s="0" t="s">
        <v>22</v>
      </c>
      <c r="E636" s="0" t="s">
        <v>57</v>
      </c>
      <c r="F636" s="0" t="s">
        <v>27</v>
      </c>
      <c r="G636" s="16" t="n">
        <v>80.45</v>
      </c>
      <c r="H636" s="0" t="n">
        <v>5</v>
      </c>
      <c r="I636" s="16" t="n">
        <f aca="false">G636*H636*0.05</f>
        <v>20.1125</v>
      </c>
      <c r="J636" s="16" t="n">
        <f aca="false">G636*H636*1.05</f>
        <v>422.3625</v>
      </c>
      <c r="K636" s="17" t="n">
        <v>43522</v>
      </c>
      <c r="L636" s="14" t="s">
        <v>1091</v>
      </c>
      <c r="M636" s="14" t="s">
        <v>34</v>
      </c>
      <c r="N636" s="16" t="n">
        <f aca="false">G636*H636</f>
        <v>402.25</v>
      </c>
      <c r="O636" s="18" t="n">
        <v>4.761904762</v>
      </c>
      <c r="P636" s="16" t="n">
        <f aca="false">I636</f>
        <v>20.1125</v>
      </c>
      <c r="Q636" s="19" t="n">
        <v>4.5</v>
      </c>
      <c r="R636" s="0" t="str">
        <f aca="false">TEXT(K636,"mmm yyyy")</f>
        <v>Feb 2019</v>
      </c>
      <c r="S636" s="14" t="n">
        <f aca="false">HOUR(TIMEVALUE(L636))</f>
        <v>19</v>
      </c>
      <c r="T636" s="0" t="str">
        <f aca="false">IF(S636&lt;12,"Morning",IF(S636&lt;17,"Afternoon","Evening"))</f>
        <v>Evening</v>
      </c>
      <c r="U636" s="16" t="n">
        <f aca="false">G636*H636*0.05</f>
        <v>20.1125</v>
      </c>
    </row>
    <row r="637" customFormat="false" ht="15" hidden="false" customHeight="false" outlineLevel="0" collapsed="false">
      <c r="A637" s="0" t="s">
        <v>1092</v>
      </c>
      <c r="B637" s="0" t="s">
        <v>29</v>
      </c>
      <c r="C637" s="0" t="s">
        <v>56</v>
      </c>
      <c r="D637" s="0" t="s">
        <v>21</v>
      </c>
      <c r="E637" s="0" t="s">
        <v>60</v>
      </c>
      <c r="F637" s="0" t="s">
        <v>37</v>
      </c>
      <c r="G637" s="16" t="n">
        <v>77.21</v>
      </c>
      <c r="H637" s="0" t="n">
        <v>10</v>
      </c>
      <c r="I637" s="16" t="n">
        <f aca="false">G637*H637*0.05</f>
        <v>38.605</v>
      </c>
      <c r="J637" s="16" t="n">
        <f aca="false">G637*H637*1.05</f>
        <v>810.705</v>
      </c>
      <c r="K637" s="17" t="n">
        <v>43522</v>
      </c>
      <c r="L637" s="14" t="s">
        <v>95</v>
      </c>
      <c r="M637" s="14" t="s">
        <v>26</v>
      </c>
      <c r="N637" s="16" t="n">
        <f aca="false">G637*H637</f>
        <v>772.1</v>
      </c>
      <c r="O637" s="18" t="n">
        <v>4.761904762</v>
      </c>
      <c r="P637" s="16" t="n">
        <f aca="false">I637</f>
        <v>38.605</v>
      </c>
      <c r="Q637" s="19" t="n">
        <v>4.9</v>
      </c>
      <c r="R637" s="0" t="str">
        <f aca="false">TEXT(K637,"mmm yyyy")</f>
        <v>Feb 2019</v>
      </c>
      <c r="S637" s="14" t="n">
        <f aca="false">HOUR(TIMEVALUE(L637))</f>
        <v>19</v>
      </c>
      <c r="T637" s="0" t="str">
        <f aca="false">IF(S637&lt;12,"Morning",IF(S637&lt;17,"Afternoon","Evening"))</f>
        <v>Evening</v>
      </c>
      <c r="U637" s="16" t="n">
        <f aca="false">G637*H637*0.05</f>
        <v>38.605</v>
      </c>
    </row>
    <row r="638" customFormat="false" ht="15" hidden="false" customHeight="false" outlineLevel="0" collapsed="false">
      <c r="A638" s="0" t="s">
        <v>1093</v>
      </c>
      <c r="B638" s="0" t="s">
        <v>33</v>
      </c>
      <c r="C638" s="0" t="s">
        <v>65</v>
      </c>
      <c r="D638" s="0" t="s">
        <v>22</v>
      </c>
      <c r="E638" s="0" t="s">
        <v>60</v>
      </c>
      <c r="F638" s="0" t="s">
        <v>36</v>
      </c>
      <c r="G638" s="16" t="n">
        <v>46.86</v>
      </c>
      <c r="H638" s="0" t="n">
        <v>3</v>
      </c>
      <c r="I638" s="16" t="n">
        <f aca="false">G638*H638*0.05</f>
        <v>7.029</v>
      </c>
      <c r="J638" s="16" t="n">
        <f aca="false">G638*H638*1.05</f>
        <v>147.609</v>
      </c>
      <c r="K638" s="17" t="n">
        <v>43522</v>
      </c>
      <c r="L638" s="14" t="s">
        <v>641</v>
      </c>
      <c r="M638" s="14" t="s">
        <v>34</v>
      </c>
      <c r="N638" s="16" t="n">
        <f aca="false">G638*H638</f>
        <v>140.58</v>
      </c>
      <c r="O638" s="18" t="n">
        <v>4.761904762</v>
      </c>
      <c r="P638" s="16" t="n">
        <f aca="false">I638</f>
        <v>7.029</v>
      </c>
      <c r="Q638" s="19" t="n">
        <v>9.7</v>
      </c>
      <c r="R638" s="0" t="str">
        <f aca="false">TEXT(K638,"mmm yyyy")</f>
        <v>Feb 2019</v>
      </c>
      <c r="S638" s="14" t="n">
        <f aca="false">HOUR(TIMEVALUE(L638))</f>
        <v>15</v>
      </c>
      <c r="T638" s="0" t="str">
        <f aca="false">IF(S638&lt;12,"Morning",IF(S638&lt;17,"Afternoon","Evening"))</f>
        <v>Afternoon</v>
      </c>
      <c r="U638" s="16" t="n">
        <f aca="false">G638*H638*0.05</f>
        <v>7.029</v>
      </c>
    </row>
    <row r="639" customFormat="false" ht="15" hidden="false" customHeight="false" outlineLevel="0" collapsed="false">
      <c r="A639" s="0" t="s">
        <v>1094</v>
      </c>
      <c r="B639" s="0" t="s">
        <v>29</v>
      </c>
      <c r="C639" s="0" t="s">
        <v>56</v>
      </c>
      <c r="D639" s="0" t="s">
        <v>21</v>
      </c>
      <c r="E639" s="0" t="s">
        <v>57</v>
      </c>
      <c r="F639" s="0" t="s">
        <v>37</v>
      </c>
      <c r="G639" s="16" t="n">
        <v>38.99</v>
      </c>
      <c r="H639" s="0" t="n">
        <v>5</v>
      </c>
      <c r="I639" s="16" t="n">
        <f aca="false">G639*H639*0.05</f>
        <v>9.7475</v>
      </c>
      <c r="J639" s="16" t="n">
        <f aca="false">G639*H639*1.05</f>
        <v>204.6975</v>
      </c>
      <c r="K639" s="17" t="n">
        <v>43522</v>
      </c>
      <c r="L639" s="14" t="s">
        <v>71</v>
      </c>
      <c r="M639" s="14" t="s">
        <v>30</v>
      </c>
      <c r="N639" s="16" t="n">
        <f aca="false">G639*H639</f>
        <v>194.95</v>
      </c>
      <c r="O639" s="18" t="n">
        <v>4.761904762</v>
      </c>
      <c r="P639" s="16" t="n">
        <f aca="false">I639</f>
        <v>9.7475</v>
      </c>
      <c r="Q639" s="19" t="n">
        <v>6</v>
      </c>
      <c r="R639" s="0" t="str">
        <f aca="false">TEXT(K639,"mmm yyyy")</f>
        <v>Feb 2019</v>
      </c>
      <c r="S639" s="14" t="n">
        <f aca="false">HOUR(TIMEVALUE(L639))</f>
        <v>11</v>
      </c>
      <c r="T639" s="0" t="str">
        <f aca="false">IF(S639&lt;12,"Morning",IF(S639&lt;17,"Afternoon","Evening"))</f>
        <v>Morning</v>
      </c>
      <c r="U639" s="16" t="n">
        <f aca="false">G639*H639*0.05</f>
        <v>9.7475</v>
      </c>
    </row>
    <row r="640" customFormat="false" ht="15" hidden="false" customHeight="false" outlineLevel="0" collapsed="false">
      <c r="A640" s="0" t="s">
        <v>1095</v>
      </c>
      <c r="B640" s="0" t="s">
        <v>33</v>
      </c>
      <c r="C640" s="0" t="s">
        <v>65</v>
      </c>
      <c r="D640" s="0" t="s">
        <v>22</v>
      </c>
      <c r="E640" s="0" t="s">
        <v>57</v>
      </c>
      <c r="F640" s="0" t="s">
        <v>27</v>
      </c>
      <c r="G640" s="16" t="n">
        <v>33.03</v>
      </c>
      <c r="H640" s="0" t="n">
        <v>8</v>
      </c>
      <c r="I640" s="16" t="n">
        <f aca="false">G640*H640*0.05</f>
        <v>13.212</v>
      </c>
      <c r="J640" s="16" t="n">
        <f aca="false">G640*H640*1.05</f>
        <v>277.452</v>
      </c>
      <c r="K640" s="17" t="n">
        <v>43522</v>
      </c>
      <c r="L640" s="14" t="s">
        <v>425</v>
      </c>
      <c r="M640" s="14" t="s">
        <v>34</v>
      </c>
      <c r="N640" s="16" t="n">
        <f aca="false">G640*H640</f>
        <v>264.24</v>
      </c>
      <c r="O640" s="18" t="n">
        <v>4.761904762</v>
      </c>
      <c r="P640" s="16" t="n">
        <f aca="false">I640</f>
        <v>13.212</v>
      </c>
      <c r="Q640" s="19" t="n">
        <v>7</v>
      </c>
      <c r="R640" s="0" t="str">
        <f aca="false">TEXT(K640,"mmm yyyy")</f>
        <v>Feb 2019</v>
      </c>
      <c r="S640" s="14" t="n">
        <f aca="false">HOUR(TIMEVALUE(L640))</f>
        <v>17</v>
      </c>
      <c r="T640" s="0" t="str">
        <f aca="false">IF(S640&lt;12,"Morning",IF(S640&lt;17,"Afternoon","Evening"))</f>
        <v>Evening</v>
      </c>
      <c r="U640" s="16" t="n">
        <f aca="false">G640*H640*0.05</f>
        <v>13.212</v>
      </c>
    </row>
    <row r="641" customFormat="false" ht="15" hidden="false" customHeight="false" outlineLevel="0" collapsed="false">
      <c r="A641" s="0" t="s">
        <v>1096</v>
      </c>
      <c r="B641" s="0" t="s">
        <v>25</v>
      </c>
      <c r="C641" s="0" t="s">
        <v>68</v>
      </c>
      <c r="D641" s="0" t="s">
        <v>21</v>
      </c>
      <c r="E641" s="0" t="s">
        <v>60</v>
      </c>
      <c r="F641" s="0" t="s">
        <v>37</v>
      </c>
      <c r="G641" s="16" t="n">
        <v>77.31</v>
      </c>
      <c r="H641" s="0" t="n">
        <v>5</v>
      </c>
      <c r="I641" s="16" t="n">
        <f aca="false">G641*H641*0.05</f>
        <v>19.3275</v>
      </c>
      <c r="J641" s="16" t="n">
        <f aca="false">G641*H641*1.05</f>
        <v>405.8775</v>
      </c>
      <c r="K641" s="17" t="n">
        <v>43522</v>
      </c>
      <c r="L641" s="14" t="s">
        <v>1097</v>
      </c>
      <c r="M641" s="14" t="s">
        <v>26</v>
      </c>
      <c r="N641" s="16" t="n">
        <f aca="false">G641*H641</f>
        <v>386.55</v>
      </c>
      <c r="O641" s="18" t="n">
        <v>4.761904762</v>
      </c>
      <c r="P641" s="16" t="n">
        <f aca="false">I641</f>
        <v>19.3275</v>
      </c>
      <c r="Q641" s="19" t="n">
        <v>9</v>
      </c>
      <c r="R641" s="0" t="str">
        <f aca="false">TEXT(K641,"mmm yyyy")</f>
        <v>Feb 2019</v>
      </c>
      <c r="S641" s="14" t="n">
        <f aca="false">HOUR(TIMEVALUE(L641))</f>
        <v>14</v>
      </c>
      <c r="T641" s="0" t="str">
        <f aca="false">IF(S641&lt;12,"Morning",IF(S641&lt;17,"Afternoon","Evening"))</f>
        <v>Afternoon</v>
      </c>
      <c r="U641" s="16" t="n">
        <f aca="false">G641*H641*0.05</f>
        <v>19.3275</v>
      </c>
    </row>
    <row r="642" customFormat="false" ht="15" hidden="false" customHeight="false" outlineLevel="0" collapsed="false">
      <c r="A642" s="0" t="s">
        <v>1098</v>
      </c>
      <c r="B642" s="0" t="s">
        <v>29</v>
      </c>
      <c r="C642" s="0" t="s">
        <v>56</v>
      </c>
      <c r="D642" s="0" t="s">
        <v>21</v>
      </c>
      <c r="E642" s="0" t="s">
        <v>57</v>
      </c>
      <c r="F642" s="0" t="s">
        <v>37</v>
      </c>
      <c r="G642" s="16" t="n">
        <v>88.76</v>
      </c>
      <c r="H642" s="0" t="n">
        <v>5</v>
      </c>
      <c r="I642" s="16" t="n">
        <f aca="false">G642*H642*0.05</f>
        <v>22.19</v>
      </c>
      <c r="J642" s="16" t="n">
        <f aca="false">G642*H642*1.05</f>
        <v>465.99</v>
      </c>
      <c r="K642" s="17" t="n">
        <v>43522</v>
      </c>
      <c r="L642" s="14" t="s">
        <v>387</v>
      </c>
      <c r="M642" s="14" t="s">
        <v>30</v>
      </c>
      <c r="N642" s="16" t="n">
        <f aca="false">G642*H642</f>
        <v>443.8</v>
      </c>
      <c r="O642" s="18" t="n">
        <v>4.761904762</v>
      </c>
      <c r="P642" s="16" t="n">
        <f aca="false">I642</f>
        <v>22.19</v>
      </c>
      <c r="Q642" s="19" t="n">
        <v>6.1</v>
      </c>
      <c r="R642" s="0" t="str">
        <f aca="false">TEXT(K642,"mmm yyyy")</f>
        <v>Feb 2019</v>
      </c>
      <c r="S642" s="14" t="n">
        <f aca="false">HOUR(TIMEVALUE(L642))</f>
        <v>17</v>
      </c>
      <c r="T642" s="0" t="str">
        <f aca="false">IF(S642&lt;12,"Morning",IF(S642&lt;17,"Afternoon","Evening"))</f>
        <v>Evening</v>
      </c>
      <c r="U642" s="16" t="n">
        <f aca="false">G642*H642*0.05</f>
        <v>22.19</v>
      </c>
    </row>
    <row r="643" customFormat="false" ht="15" hidden="false" customHeight="false" outlineLevel="0" collapsed="false">
      <c r="A643" s="0" t="s">
        <v>1099</v>
      </c>
      <c r="B643" s="0" t="s">
        <v>25</v>
      </c>
      <c r="C643" s="0" t="s">
        <v>68</v>
      </c>
      <c r="D643" s="0" t="s">
        <v>22</v>
      </c>
      <c r="E643" s="0" t="s">
        <v>57</v>
      </c>
      <c r="F643" s="0" t="s">
        <v>37</v>
      </c>
      <c r="G643" s="16" t="n">
        <v>99.19</v>
      </c>
      <c r="H643" s="0" t="n">
        <v>6</v>
      </c>
      <c r="I643" s="16" t="n">
        <f aca="false">G643*H643*0.05</f>
        <v>29.757</v>
      </c>
      <c r="J643" s="16" t="n">
        <f aca="false">G643*H643*1.05</f>
        <v>624.897</v>
      </c>
      <c r="K643" s="17" t="n">
        <v>43523</v>
      </c>
      <c r="L643" s="14" t="s">
        <v>1100</v>
      </c>
      <c r="M643" s="14" t="s">
        <v>30</v>
      </c>
      <c r="N643" s="16" t="n">
        <f aca="false">G643*H643</f>
        <v>595.14</v>
      </c>
      <c r="O643" s="18" t="n">
        <v>4.761904762</v>
      </c>
      <c r="P643" s="16" t="n">
        <f aca="false">I643</f>
        <v>29.757</v>
      </c>
      <c r="Q643" s="19" t="n">
        <v>4.2</v>
      </c>
      <c r="R643" s="0" t="str">
        <f aca="false">TEXT(K643,"mmm yyyy")</f>
        <v>Feb 2019</v>
      </c>
      <c r="S643" s="14" t="n">
        <f aca="false">HOUR(TIMEVALUE(L643))</f>
        <v>11</v>
      </c>
      <c r="T643" s="0" t="str">
        <f aca="false">IF(S643&lt;12,"Morning",IF(S643&lt;17,"Afternoon","Evening"))</f>
        <v>Morning</v>
      </c>
      <c r="U643" s="16" t="n">
        <f aca="false">G643*H643*0.05</f>
        <v>29.757</v>
      </c>
    </row>
    <row r="644" customFormat="false" ht="15" hidden="false" customHeight="false" outlineLevel="0" collapsed="false">
      <c r="A644" s="0" t="s">
        <v>1101</v>
      </c>
      <c r="B644" s="0" t="s">
        <v>25</v>
      </c>
      <c r="C644" s="0" t="s">
        <v>68</v>
      </c>
      <c r="D644" s="0" t="s">
        <v>22</v>
      </c>
      <c r="E644" s="0" t="s">
        <v>60</v>
      </c>
      <c r="F644" s="0" t="s">
        <v>23</v>
      </c>
      <c r="G644" s="16" t="n">
        <v>77.46</v>
      </c>
      <c r="H644" s="0" t="n">
        <v>5</v>
      </c>
      <c r="I644" s="16" t="n">
        <f aca="false">G644*H644*0.05</f>
        <v>19.365</v>
      </c>
      <c r="J644" s="16" t="n">
        <f aca="false">G644*H644*1.05</f>
        <v>406.665</v>
      </c>
      <c r="K644" s="17" t="n">
        <v>43523</v>
      </c>
      <c r="L644" s="14" t="s">
        <v>498</v>
      </c>
      <c r="M644" s="14" t="s">
        <v>26</v>
      </c>
      <c r="N644" s="16" t="n">
        <f aca="false">G644*H644</f>
        <v>387.3</v>
      </c>
      <c r="O644" s="18" t="n">
        <v>4.761904762</v>
      </c>
      <c r="P644" s="16" t="n">
        <f aca="false">I644</f>
        <v>19.365</v>
      </c>
      <c r="Q644" s="19" t="n">
        <v>5.6</v>
      </c>
      <c r="R644" s="0" t="str">
        <f aca="false">TEXT(K644,"mmm yyyy")</f>
        <v>Feb 2019</v>
      </c>
      <c r="S644" s="14" t="n">
        <f aca="false">HOUR(TIMEVALUE(L644))</f>
        <v>10</v>
      </c>
      <c r="T644" s="0" t="str">
        <f aca="false">IF(S644&lt;12,"Morning",IF(S644&lt;17,"Afternoon","Evening"))</f>
        <v>Morning</v>
      </c>
      <c r="U644" s="16" t="n">
        <f aca="false">G644*H644*0.05</f>
        <v>19.365</v>
      </c>
    </row>
    <row r="645" customFormat="false" ht="15" hidden="false" customHeight="false" outlineLevel="0" collapsed="false">
      <c r="A645" s="0" t="s">
        <v>1102</v>
      </c>
      <c r="B645" s="0" t="s">
        <v>33</v>
      </c>
      <c r="C645" s="0" t="s">
        <v>65</v>
      </c>
      <c r="D645" s="0" t="s">
        <v>21</v>
      </c>
      <c r="E645" s="0" t="s">
        <v>60</v>
      </c>
      <c r="F645" s="0" t="s">
        <v>27</v>
      </c>
      <c r="G645" s="16" t="n">
        <v>90.34</v>
      </c>
      <c r="H645" s="0" t="n">
        <v>1</v>
      </c>
      <c r="I645" s="16" t="n">
        <f aca="false">G645*H645*0.05</f>
        <v>4.517</v>
      </c>
      <c r="J645" s="16" t="n">
        <f aca="false">G645*H645*1.05</f>
        <v>94.857</v>
      </c>
      <c r="K645" s="17" t="n">
        <v>43523</v>
      </c>
      <c r="L645" s="14" t="s">
        <v>1103</v>
      </c>
      <c r="M645" s="14" t="s">
        <v>26</v>
      </c>
      <c r="N645" s="16" t="n">
        <f aca="false">G645*H645</f>
        <v>90.34</v>
      </c>
      <c r="O645" s="18" t="n">
        <v>4.761904762</v>
      </c>
      <c r="P645" s="16" t="n">
        <f aca="false">I645</f>
        <v>4.517</v>
      </c>
      <c r="Q645" s="19" t="n">
        <v>8.1</v>
      </c>
      <c r="R645" s="0" t="str">
        <f aca="false">TEXT(K645,"mmm yyyy")</f>
        <v>Feb 2019</v>
      </c>
      <c r="S645" s="14" t="n">
        <f aca="false">HOUR(TIMEVALUE(L645))</f>
        <v>16</v>
      </c>
      <c r="T645" s="0" t="str">
        <f aca="false">IF(S645&lt;12,"Morning",IF(S645&lt;17,"Afternoon","Evening"))</f>
        <v>Afternoon</v>
      </c>
      <c r="U645" s="16" t="n">
        <f aca="false">G645*H645*0.05</f>
        <v>4.517</v>
      </c>
    </row>
    <row r="646" customFormat="false" ht="15" hidden="false" customHeight="false" outlineLevel="0" collapsed="false">
      <c r="A646" s="0" t="s">
        <v>1104</v>
      </c>
      <c r="B646" s="0" t="s">
        <v>33</v>
      </c>
      <c r="C646" s="0" t="s">
        <v>65</v>
      </c>
      <c r="D646" s="0" t="s">
        <v>22</v>
      </c>
      <c r="E646" s="0" t="s">
        <v>60</v>
      </c>
      <c r="F646" s="0" t="s">
        <v>35</v>
      </c>
      <c r="G646" s="16" t="n">
        <v>77.62</v>
      </c>
      <c r="H646" s="0" t="n">
        <v>1</v>
      </c>
      <c r="I646" s="16" t="n">
        <f aca="false">G646*H646*0.05</f>
        <v>3.881</v>
      </c>
      <c r="J646" s="16" t="n">
        <f aca="false">G646*H646*1.05</f>
        <v>81.501</v>
      </c>
      <c r="K646" s="17" t="n">
        <v>43523</v>
      </c>
      <c r="L646" s="14" t="s">
        <v>863</v>
      </c>
      <c r="M646" s="14" t="s">
        <v>34</v>
      </c>
      <c r="N646" s="16" t="n">
        <f aca="false">G646*H646</f>
        <v>77.62</v>
      </c>
      <c r="O646" s="18" t="n">
        <v>4.761904762</v>
      </c>
      <c r="P646" s="16" t="n">
        <f aca="false">I646</f>
        <v>3.881</v>
      </c>
      <c r="Q646" s="19" t="n">
        <v>4.6</v>
      </c>
      <c r="R646" s="0" t="str">
        <f aca="false">TEXT(K646,"mmm yyyy")</f>
        <v>Feb 2019</v>
      </c>
      <c r="S646" s="14" t="n">
        <f aca="false">HOUR(TIMEVALUE(L646))</f>
        <v>20</v>
      </c>
      <c r="T646" s="0" t="str">
        <f aca="false">IF(S646&lt;12,"Morning",IF(S646&lt;17,"Afternoon","Evening"))</f>
        <v>Evening</v>
      </c>
      <c r="U646" s="16" t="n">
        <f aca="false">G646*H646*0.05</f>
        <v>3.881</v>
      </c>
    </row>
    <row r="647" customFormat="false" ht="15" hidden="false" customHeight="false" outlineLevel="0" collapsed="false">
      <c r="A647" s="0" t="s">
        <v>1105</v>
      </c>
      <c r="B647" s="0" t="s">
        <v>33</v>
      </c>
      <c r="C647" s="0" t="s">
        <v>65</v>
      </c>
      <c r="D647" s="0" t="s">
        <v>21</v>
      </c>
      <c r="E647" s="0" t="s">
        <v>60</v>
      </c>
      <c r="F647" s="0" t="s">
        <v>35</v>
      </c>
      <c r="G647" s="16" t="n">
        <v>51.65</v>
      </c>
      <c r="H647" s="0" t="n">
        <v>4</v>
      </c>
      <c r="I647" s="16" t="n">
        <f aca="false">G647*H647*0.05</f>
        <v>10.33</v>
      </c>
      <c r="J647" s="16" t="n">
        <f aca="false">G647*H647*1.05</f>
        <v>216.93</v>
      </c>
      <c r="K647" s="17" t="n">
        <v>43523</v>
      </c>
      <c r="L647" s="14" t="s">
        <v>910</v>
      </c>
      <c r="M647" s="14" t="s">
        <v>34</v>
      </c>
      <c r="N647" s="16" t="n">
        <f aca="false">G647*H647</f>
        <v>206.6</v>
      </c>
      <c r="O647" s="18" t="n">
        <v>4.761904762</v>
      </c>
      <c r="P647" s="16" t="n">
        <f aca="false">I647</f>
        <v>10.33</v>
      </c>
      <c r="Q647" s="19" t="n">
        <v>7.1</v>
      </c>
      <c r="R647" s="0" t="str">
        <f aca="false">TEXT(K647,"mmm yyyy")</f>
        <v>Feb 2019</v>
      </c>
      <c r="S647" s="14" t="n">
        <f aca="false">HOUR(TIMEVALUE(L647))</f>
        <v>13</v>
      </c>
      <c r="T647" s="0" t="str">
        <f aca="false">IF(S647&lt;12,"Morning",IF(S647&lt;17,"Afternoon","Evening"))</f>
        <v>Afternoon</v>
      </c>
      <c r="U647" s="16" t="n">
        <f aca="false">G647*H647*0.05</f>
        <v>10.33</v>
      </c>
    </row>
    <row r="648" customFormat="false" ht="15" hidden="false" customHeight="false" outlineLevel="0" collapsed="false">
      <c r="A648" s="0" t="s">
        <v>1106</v>
      </c>
      <c r="B648" s="0" t="s">
        <v>33</v>
      </c>
      <c r="C648" s="0" t="s">
        <v>65</v>
      </c>
      <c r="D648" s="0" t="s">
        <v>21</v>
      </c>
      <c r="E648" s="0" t="s">
        <v>57</v>
      </c>
      <c r="F648" s="0" t="s">
        <v>31</v>
      </c>
      <c r="G648" s="16" t="n">
        <v>39.14</v>
      </c>
      <c r="H648" s="0" t="n">
        <v>5</v>
      </c>
      <c r="I648" s="16" t="n">
        <f aca="false">G648*H648*0.05</f>
        <v>9.785</v>
      </c>
      <c r="J648" s="16" t="n">
        <f aca="false">G648*H648*1.05</f>
        <v>205.485</v>
      </c>
      <c r="K648" s="17" t="n">
        <v>43523</v>
      </c>
      <c r="L648" s="14" t="s">
        <v>366</v>
      </c>
      <c r="M648" s="14" t="s">
        <v>26</v>
      </c>
      <c r="N648" s="16" t="n">
        <f aca="false">G648*H648</f>
        <v>195.7</v>
      </c>
      <c r="O648" s="18" t="n">
        <v>4.761904762</v>
      </c>
      <c r="P648" s="16" t="n">
        <f aca="false">I648</f>
        <v>9.785</v>
      </c>
      <c r="Q648" s="19" t="n">
        <v>6.1</v>
      </c>
      <c r="R648" s="0" t="str">
        <f aca="false">TEXT(K648,"mmm yyyy")</f>
        <v>Feb 2019</v>
      </c>
      <c r="S648" s="14" t="n">
        <f aca="false">HOUR(TIMEVALUE(L648))</f>
        <v>13</v>
      </c>
      <c r="T648" s="0" t="str">
        <f aca="false">IF(S648&lt;12,"Morning",IF(S648&lt;17,"Afternoon","Evening"))</f>
        <v>Afternoon</v>
      </c>
      <c r="U648" s="16" t="n">
        <f aca="false">G648*H648*0.05</f>
        <v>9.785</v>
      </c>
    </row>
    <row r="649" customFormat="false" ht="15" hidden="false" customHeight="false" outlineLevel="0" collapsed="false">
      <c r="A649" s="0" t="s">
        <v>1107</v>
      </c>
      <c r="B649" s="0" t="s">
        <v>29</v>
      </c>
      <c r="C649" s="0" t="s">
        <v>56</v>
      </c>
      <c r="D649" s="0" t="s">
        <v>22</v>
      </c>
      <c r="E649" s="0" t="s">
        <v>57</v>
      </c>
      <c r="F649" s="0" t="s">
        <v>37</v>
      </c>
      <c r="G649" s="16" t="n">
        <v>15.19</v>
      </c>
      <c r="H649" s="0" t="n">
        <v>6</v>
      </c>
      <c r="I649" s="16" t="n">
        <f aca="false">G649*H649*0.05</f>
        <v>4.557</v>
      </c>
      <c r="J649" s="16" t="n">
        <f aca="false">G649*H649*1.05</f>
        <v>95.697</v>
      </c>
      <c r="K649" s="17" t="n">
        <v>43523</v>
      </c>
      <c r="L649" s="14" t="s">
        <v>358</v>
      </c>
      <c r="M649" s="14" t="s">
        <v>34</v>
      </c>
      <c r="N649" s="16" t="n">
        <f aca="false">G649*H649</f>
        <v>91.14</v>
      </c>
      <c r="O649" s="18" t="n">
        <v>4.761904762</v>
      </c>
      <c r="P649" s="16" t="n">
        <f aca="false">I649</f>
        <v>4.557</v>
      </c>
      <c r="Q649" s="19" t="n">
        <v>5.3</v>
      </c>
      <c r="R649" s="0" t="str">
        <f aca="false">TEXT(K649,"mmm yyyy")</f>
        <v>Feb 2019</v>
      </c>
      <c r="S649" s="14" t="n">
        <f aca="false">HOUR(TIMEVALUE(L649))</f>
        <v>19</v>
      </c>
      <c r="T649" s="0" t="str">
        <f aca="false">IF(S649&lt;12,"Morning",IF(S649&lt;17,"Afternoon","Evening"))</f>
        <v>Evening</v>
      </c>
      <c r="U649" s="16" t="n">
        <f aca="false">G649*H649*0.05</f>
        <v>4.557</v>
      </c>
    </row>
    <row r="650" customFormat="false" ht="15" hidden="false" customHeight="false" outlineLevel="0" collapsed="false">
      <c r="A650" s="0" t="s">
        <v>1108</v>
      </c>
      <c r="B650" s="0" t="s">
        <v>29</v>
      </c>
      <c r="C650" s="0" t="s">
        <v>56</v>
      </c>
      <c r="D650" s="0" t="s">
        <v>22</v>
      </c>
      <c r="E650" s="0" t="s">
        <v>57</v>
      </c>
      <c r="F650" s="0" t="s">
        <v>37</v>
      </c>
      <c r="G650" s="16" t="n">
        <v>93.19</v>
      </c>
      <c r="H650" s="0" t="n">
        <v>10</v>
      </c>
      <c r="I650" s="16" t="n">
        <f aca="false">G650*H650*0.05</f>
        <v>46.595</v>
      </c>
      <c r="J650" s="16" t="n">
        <f aca="false">G650*H650*1.05</f>
        <v>978.495</v>
      </c>
      <c r="K650" s="17" t="n">
        <v>43523</v>
      </c>
      <c r="L650" s="14" t="s">
        <v>174</v>
      </c>
      <c r="M650" s="14" t="s">
        <v>34</v>
      </c>
      <c r="N650" s="16" t="n">
        <f aca="false">G650*H650</f>
        <v>931.9</v>
      </c>
      <c r="O650" s="18" t="n">
        <v>4.761904762</v>
      </c>
      <c r="P650" s="16" t="n">
        <f aca="false">I650</f>
        <v>46.595</v>
      </c>
      <c r="Q650" s="19" t="n">
        <v>5.5</v>
      </c>
      <c r="R650" s="0" t="str">
        <f aca="false">TEXT(K650,"mmm yyyy")</f>
        <v>Feb 2019</v>
      </c>
      <c r="S650" s="14" t="n">
        <f aca="false">HOUR(TIMEVALUE(L650))</f>
        <v>17</v>
      </c>
      <c r="T650" s="0" t="str">
        <f aca="false">IF(S650&lt;12,"Morning",IF(S650&lt;17,"Afternoon","Evening"))</f>
        <v>Evening</v>
      </c>
      <c r="U650" s="16" t="n">
        <f aca="false">G650*H650*0.05</f>
        <v>46.595</v>
      </c>
    </row>
    <row r="651" customFormat="false" ht="15" hidden="false" customHeight="false" outlineLevel="0" collapsed="false">
      <c r="A651" s="0" t="s">
        <v>1109</v>
      </c>
      <c r="B651" s="0" t="s">
        <v>25</v>
      </c>
      <c r="C651" s="0" t="s">
        <v>68</v>
      </c>
      <c r="D651" s="0" t="s">
        <v>21</v>
      </c>
      <c r="E651" s="0" t="s">
        <v>57</v>
      </c>
      <c r="F651" s="0" t="s">
        <v>27</v>
      </c>
      <c r="G651" s="16" t="n">
        <v>72.14</v>
      </c>
      <c r="H651" s="0" t="n">
        <v>10</v>
      </c>
      <c r="I651" s="16" t="n">
        <f aca="false">G651*H651*0.05</f>
        <v>36.07</v>
      </c>
      <c r="J651" s="16" t="n">
        <f aca="false">G651*H651*1.05</f>
        <v>757.47</v>
      </c>
      <c r="K651" s="17" t="n">
        <v>43523</v>
      </c>
      <c r="L651" s="14" t="s">
        <v>1110</v>
      </c>
      <c r="M651" s="14" t="s">
        <v>30</v>
      </c>
      <c r="N651" s="16" t="n">
        <f aca="false">G651*H651</f>
        <v>721.4</v>
      </c>
      <c r="O651" s="18" t="n">
        <v>4.761904762</v>
      </c>
      <c r="P651" s="16" t="n">
        <f aca="false">I651</f>
        <v>36.07</v>
      </c>
      <c r="Q651" s="19" t="n">
        <v>4.7</v>
      </c>
      <c r="R651" s="0" t="str">
        <f aca="false">TEXT(K651,"mmm yyyy")</f>
        <v>Feb 2019</v>
      </c>
      <c r="S651" s="14" t="n">
        <f aca="false">HOUR(TIMEVALUE(L651))</f>
        <v>10</v>
      </c>
      <c r="T651" s="0" t="str">
        <f aca="false">IF(S651&lt;12,"Morning",IF(S651&lt;17,"Afternoon","Evening"))</f>
        <v>Morning</v>
      </c>
      <c r="U651" s="16" t="n">
        <f aca="false">G651*H651*0.05</f>
        <v>36.07</v>
      </c>
    </row>
    <row r="652" customFormat="false" ht="15" hidden="false" customHeight="false" outlineLevel="0" collapsed="false">
      <c r="A652" s="0" t="s">
        <v>1111</v>
      </c>
      <c r="B652" s="0" t="s">
        <v>33</v>
      </c>
      <c r="C652" s="0" t="s">
        <v>65</v>
      </c>
      <c r="D652" s="0" t="s">
        <v>21</v>
      </c>
      <c r="E652" s="0" t="s">
        <v>60</v>
      </c>
      <c r="F652" s="0" t="s">
        <v>36</v>
      </c>
      <c r="G652" s="16" t="n">
        <v>83.61</v>
      </c>
      <c r="H652" s="0" t="n">
        <v>8</v>
      </c>
      <c r="I652" s="16" t="n">
        <f aca="false">G652*H652*0.05</f>
        <v>33.444</v>
      </c>
      <c r="J652" s="16" t="n">
        <f aca="false">G652*H652*1.05</f>
        <v>702.324</v>
      </c>
      <c r="K652" s="17" t="n">
        <v>43523</v>
      </c>
      <c r="L652" s="14" t="s">
        <v>374</v>
      </c>
      <c r="M652" s="14" t="s">
        <v>26</v>
      </c>
      <c r="N652" s="16" t="n">
        <f aca="false">G652*H652</f>
        <v>668.88</v>
      </c>
      <c r="O652" s="18" t="n">
        <v>4.761904762</v>
      </c>
      <c r="P652" s="16" t="n">
        <f aca="false">I652</f>
        <v>33.444</v>
      </c>
      <c r="Q652" s="19" t="n">
        <v>6.2</v>
      </c>
      <c r="R652" s="0" t="str">
        <f aca="false">TEXT(K652,"mmm yyyy")</f>
        <v>Feb 2019</v>
      </c>
      <c r="S652" s="14" t="n">
        <f aca="false">HOUR(TIMEVALUE(L652))</f>
        <v>16</v>
      </c>
      <c r="T652" s="0" t="str">
        <f aca="false">IF(S652&lt;12,"Morning",IF(S652&lt;17,"Afternoon","Evening"))</f>
        <v>Afternoon</v>
      </c>
      <c r="U652" s="16" t="n">
        <f aca="false">G652*H652*0.05</f>
        <v>33.444</v>
      </c>
    </row>
    <row r="653" customFormat="false" ht="15" hidden="false" customHeight="false" outlineLevel="0" collapsed="false">
      <c r="A653" s="0" t="s">
        <v>1112</v>
      </c>
      <c r="B653" s="0" t="s">
        <v>25</v>
      </c>
      <c r="C653" s="0" t="s">
        <v>68</v>
      </c>
      <c r="D653" s="0" t="s">
        <v>21</v>
      </c>
      <c r="E653" s="0" t="s">
        <v>60</v>
      </c>
      <c r="F653" s="0" t="s">
        <v>27</v>
      </c>
      <c r="G653" s="16" t="n">
        <v>73.86</v>
      </c>
      <c r="H653" s="0" t="n">
        <v>1</v>
      </c>
      <c r="I653" s="16" t="n">
        <f aca="false">G653*H653*0.05</f>
        <v>3.693</v>
      </c>
      <c r="J653" s="16" t="n">
        <f aca="false">G653*H653*1.05</f>
        <v>77.553</v>
      </c>
      <c r="K653" s="17" t="n">
        <v>43523</v>
      </c>
      <c r="L653" s="14" t="s">
        <v>1086</v>
      </c>
      <c r="M653" s="14" t="s">
        <v>30</v>
      </c>
      <c r="N653" s="16" t="n">
        <f aca="false">G653*H653</f>
        <v>73.86</v>
      </c>
      <c r="O653" s="18" t="n">
        <v>4.761904762</v>
      </c>
      <c r="P653" s="16" t="n">
        <f aca="false">I653</f>
        <v>3.693</v>
      </c>
      <c r="Q653" s="19" t="n">
        <v>4.9</v>
      </c>
      <c r="R653" s="0" t="str">
        <f aca="false">TEXT(K653,"mmm yyyy")</f>
        <v>Feb 2019</v>
      </c>
      <c r="S653" s="14" t="n">
        <f aca="false">HOUR(TIMEVALUE(L653))</f>
        <v>14</v>
      </c>
      <c r="T653" s="0" t="str">
        <f aca="false">IF(S653&lt;12,"Morning",IF(S653&lt;17,"Afternoon","Evening"))</f>
        <v>Afternoon</v>
      </c>
      <c r="U653" s="16" t="n">
        <f aca="false">G653*H653*0.05</f>
        <v>3.693</v>
      </c>
    </row>
    <row r="654" customFormat="false" ht="15" hidden="false" customHeight="false" outlineLevel="0" collapsed="false">
      <c r="A654" s="0" t="s">
        <v>1113</v>
      </c>
      <c r="B654" s="0" t="s">
        <v>25</v>
      </c>
      <c r="C654" s="0" t="s">
        <v>68</v>
      </c>
      <c r="D654" s="0" t="s">
        <v>21</v>
      </c>
      <c r="E654" s="0" t="s">
        <v>57</v>
      </c>
      <c r="F654" s="0" t="s">
        <v>36</v>
      </c>
      <c r="G654" s="16" t="n">
        <v>25.75</v>
      </c>
      <c r="H654" s="0" t="n">
        <v>3</v>
      </c>
      <c r="I654" s="16" t="n">
        <f aca="false">G654*H654*0.05</f>
        <v>3.8625</v>
      </c>
      <c r="J654" s="16" t="n">
        <f aca="false">G654*H654*1.05</f>
        <v>81.1125</v>
      </c>
      <c r="K654" s="17" t="n">
        <v>43523</v>
      </c>
      <c r="L654" s="14" t="s">
        <v>444</v>
      </c>
      <c r="M654" s="14" t="s">
        <v>30</v>
      </c>
      <c r="N654" s="16" t="n">
        <f aca="false">G654*H654</f>
        <v>77.25</v>
      </c>
      <c r="O654" s="18" t="n">
        <v>4.761904762</v>
      </c>
      <c r="P654" s="16" t="n">
        <f aca="false">I654</f>
        <v>3.8625</v>
      </c>
      <c r="Q654" s="19" t="n">
        <v>4.2</v>
      </c>
      <c r="R654" s="0" t="str">
        <f aca="false">TEXT(K654,"mmm yyyy")</f>
        <v>Feb 2019</v>
      </c>
      <c r="S654" s="14" t="n">
        <f aca="false">HOUR(TIMEVALUE(L654))</f>
        <v>11</v>
      </c>
      <c r="T654" s="0" t="str">
        <f aca="false">IF(S654&lt;12,"Morning",IF(S654&lt;17,"Afternoon","Evening"))</f>
        <v>Morning</v>
      </c>
      <c r="U654" s="16" t="n">
        <f aca="false">G654*H654*0.05</f>
        <v>3.8625</v>
      </c>
    </row>
    <row r="655" customFormat="false" ht="15" hidden="false" customHeight="false" outlineLevel="0" collapsed="false">
      <c r="A655" s="0" t="s">
        <v>1114</v>
      </c>
      <c r="B655" s="0" t="s">
        <v>25</v>
      </c>
      <c r="C655" s="0" t="s">
        <v>68</v>
      </c>
      <c r="D655" s="0" t="s">
        <v>21</v>
      </c>
      <c r="E655" s="0" t="s">
        <v>57</v>
      </c>
      <c r="F655" s="0" t="s">
        <v>36</v>
      </c>
      <c r="G655" s="16" t="n">
        <v>73.6</v>
      </c>
      <c r="H655" s="0" t="n">
        <v>3</v>
      </c>
      <c r="I655" s="16" t="n">
        <f aca="false">G655*H655*0.05</f>
        <v>11.04</v>
      </c>
      <c r="J655" s="16" t="n">
        <f aca="false">G655*H655*1.05</f>
        <v>231.84</v>
      </c>
      <c r="K655" s="17" t="n">
        <v>43523</v>
      </c>
      <c r="L655" s="14" t="s">
        <v>196</v>
      </c>
      <c r="M655" s="14" t="s">
        <v>30</v>
      </c>
      <c r="N655" s="16" t="n">
        <f aca="false">G655*H655</f>
        <v>220.8</v>
      </c>
      <c r="O655" s="18" t="n">
        <v>4.761904762</v>
      </c>
      <c r="P655" s="16" t="n">
        <f aca="false">I655</f>
        <v>11.04</v>
      </c>
      <c r="Q655" s="19" t="n">
        <v>9</v>
      </c>
      <c r="R655" s="0" t="str">
        <f aca="false">TEXT(K655,"mmm yyyy")</f>
        <v>Feb 2019</v>
      </c>
      <c r="S655" s="14" t="n">
        <f aca="false">HOUR(TIMEVALUE(L655))</f>
        <v>17</v>
      </c>
      <c r="T655" s="0" t="str">
        <f aca="false">IF(S655&lt;12,"Morning",IF(S655&lt;17,"Afternoon","Evening"))</f>
        <v>Evening</v>
      </c>
      <c r="U655" s="16" t="n">
        <f aca="false">G655*H655*0.05</f>
        <v>11.04</v>
      </c>
    </row>
    <row r="656" customFormat="false" ht="15" hidden="false" customHeight="false" outlineLevel="0" collapsed="false">
      <c r="A656" s="0" t="s">
        <v>1115</v>
      </c>
      <c r="B656" s="0" t="s">
        <v>29</v>
      </c>
      <c r="C656" s="0" t="s">
        <v>56</v>
      </c>
      <c r="D656" s="0" t="s">
        <v>22</v>
      </c>
      <c r="E656" s="0" t="s">
        <v>57</v>
      </c>
      <c r="F656" s="0" t="s">
        <v>36</v>
      </c>
      <c r="G656" s="16" t="n">
        <v>88.97</v>
      </c>
      <c r="H656" s="0" t="n">
        <v>6</v>
      </c>
      <c r="I656" s="16" t="n">
        <f aca="false">G656*H656*0.05</f>
        <v>26.691</v>
      </c>
      <c r="J656" s="16" t="n">
        <f aca="false">G656*H656*1.05</f>
        <v>560.511</v>
      </c>
      <c r="K656" s="17" t="n">
        <v>43523</v>
      </c>
      <c r="L656" s="14" t="s">
        <v>815</v>
      </c>
      <c r="M656" s="14" t="s">
        <v>30</v>
      </c>
      <c r="N656" s="16" t="n">
        <f aca="false">G656*H656</f>
        <v>533.82</v>
      </c>
      <c r="O656" s="18" t="n">
        <v>4.761904762</v>
      </c>
      <c r="P656" s="16" t="n">
        <f aca="false">I656</f>
        <v>26.691</v>
      </c>
      <c r="Q656" s="19" t="n">
        <v>4.3</v>
      </c>
      <c r="R656" s="0" t="str">
        <f aca="false">TEXT(K656,"mmm yyyy")</f>
        <v>Feb 2019</v>
      </c>
      <c r="S656" s="14" t="n">
        <f aca="false">HOUR(TIMEVALUE(L656))</f>
        <v>17</v>
      </c>
      <c r="T656" s="0" t="str">
        <f aca="false">IF(S656&lt;12,"Morning",IF(S656&lt;17,"Afternoon","Evening"))</f>
        <v>Evening</v>
      </c>
      <c r="U656" s="16" t="n">
        <f aca="false">G656*H656*0.05</f>
        <v>26.691</v>
      </c>
    </row>
    <row r="657" customFormat="false" ht="15" hidden="false" customHeight="false" outlineLevel="0" collapsed="false">
      <c r="A657" s="0" t="s">
        <v>1116</v>
      </c>
      <c r="B657" s="0" t="s">
        <v>25</v>
      </c>
      <c r="C657" s="0" t="s">
        <v>68</v>
      </c>
      <c r="D657" s="0" t="s">
        <v>21</v>
      </c>
      <c r="E657" s="0" t="s">
        <v>60</v>
      </c>
      <c r="F657" s="0" t="s">
        <v>37</v>
      </c>
      <c r="G657" s="16" t="n">
        <v>45.47</v>
      </c>
      <c r="H657" s="0" t="n">
        <v>7</v>
      </c>
      <c r="I657" s="16" t="n">
        <f aca="false">G657*H657*0.05</f>
        <v>15.9145</v>
      </c>
      <c r="J657" s="16" t="n">
        <f aca="false">G657*H657*1.05</f>
        <v>334.2045</v>
      </c>
      <c r="K657" s="17" t="n">
        <v>43524</v>
      </c>
      <c r="L657" s="14" t="s">
        <v>1117</v>
      </c>
      <c r="M657" s="14" t="s">
        <v>30</v>
      </c>
      <c r="N657" s="16" t="n">
        <f aca="false">G657*H657</f>
        <v>318.29</v>
      </c>
      <c r="O657" s="18" t="n">
        <v>4.761904762</v>
      </c>
      <c r="P657" s="16" t="n">
        <f aca="false">I657</f>
        <v>15.9145</v>
      </c>
      <c r="Q657" s="19" t="n">
        <v>6</v>
      </c>
      <c r="R657" s="0" t="str">
        <f aca="false">TEXT(K657,"mmm yyyy")</f>
        <v>Feb 2019</v>
      </c>
      <c r="S657" s="14" t="n">
        <f aca="false">HOUR(TIMEVALUE(L657))</f>
        <v>15</v>
      </c>
      <c r="T657" s="0" t="str">
        <f aca="false">IF(S657&lt;12,"Morning",IF(S657&lt;17,"Afternoon","Evening"))</f>
        <v>Afternoon</v>
      </c>
      <c r="U657" s="16" t="n">
        <f aca="false">G657*H657*0.05</f>
        <v>15.9145</v>
      </c>
    </row>
    <row r="658" customFormat="false" ht="15" hidden="false" customHeight="false" outlineLevel="0" collapsed="false">
      <c r="A658" s="0" t="s">
        <v>1118</v>
      </c>
      <c r="B658" s="0" t="s">
        <v>33</v>
      </c>
      <c r="C658" s="0" t="s">
        <v>65</v>
      </c>
      <c r="D658" s="0" t="s">
        <v>22</v>
      </c>
      <c r="E658" s="0" t="s">
        <v>57</v>
      </c>
      <c r="F658" s="0" t="s">
        <v>35</v>
      </c>
      <c r="G658" s="16" t="n">
        <v>30.7</v>
      </c>
      <c r="H658" s="0" t="n">
        <v>3</v>
      </c>
      <c r="I658" s="16" t="n">
        <f aca="false">G658*H658*0.05</f>
        <v>4.605</v>
      </c>
      <c r="J658" s="16" t="n">
        <f aca="false">G658*H658*1.05</f>
        <v>96.705</v>
      </c>
      <c r="K658" s="17" t="n">
        <v>43524</v>
      </c>
      <c r="L658" s="14" t="s">
        <v>276</v>
      </c>
      <c r="M658" s="14" t="s">
        <v>26</v>
      </c>
      <c r="N658" s="16" t="n">
        <f aca="false">G658*H658</f>
        <v>92.1</v>
      </c>
      <c r="O658" s="18" t="n">
        <v>4.761904762</v>
      </c>
      <c r="P658" s="16" t="n">
        <f aca="false">I658</f>
        <v>4.605</v>
      </c>
      <c r="Q658" s="19" t="n">
        <v>5.7</v>
      </c>
      <c r="R658" s="0" t="str">
        <f aca="false">TEXT(K658,"mmm yyyy")</f>
        <v>Feb 2019</v>
      </c>
      <c r="S658" s="14" t="n">
        <f aca="false">HOUR(TIMEVALUE(L658))</f>
        <v>13</v>
      </c>
      <c r="T658" s="0" t="str">
        <f aca="false">IF(S658&lt;12,"Morning",IF(S658&lt;17,"Afternoon","Evening"))</f>
        <v>Afternoon</v>
      </c>
      <c r="U658" s="16" t="n">
        <f aca="false">G658*H658*0.05</f>
        <v>4.605</v>
      </c>
    </row>
    <row r="659" customFormat="false" ht="15" hidden="false" customHeight="false" outlineLevel="0" collapsed="false">
      <c r="A659" s="0" t="s">
        <v>1119</v>
      </c>
      <c r="B659" s="0" t="s">
        <v>33</v>
      </c>
      <c r="C659" s="0" t="s">
        <v>65</v>
      </c>
      <c r="D659" s="0" t="s">
        <v>22</v>
      </c>
      <c r="E659" s="0" t="s">
        <v>60</v>
      </c>
      <c r="F659" s="0" t="s">
        <v>31</v>
      </c>
      <c r="G659" s="16" t="n">
        <v>32</v>
      </c>
      <c r="H659" s="0" t="n">
        <v>5</v>
      </c>
      <c r="I659" s="16" t="n">
        <f aca="false">G659*H659*0.05</f>
        <v>8</v>
      </c>
      <c r="J659" s="16" t="n">
        <f aca="false">G659*H659*1.05</f>
        <v>168</v>
      </c>
      <c r="K659" s="17" t="n">
        <v>43524</v>
      </c>
      <c r="L659" s="14" t="s">
        <v>494</v>
      </c>
      <c r="M659" s="14" t="s">
        <v>34</v>
      </c>
      <c r="N659" s="16" t="n">
        <f aca="false">G659*H659</f>
        <v>160</v>
      </c>
      <c r="O659" s="18" t="n">
        <v>4.761904762</v>
      </c>
      <c r="P659" s="16" t="n">
        <f aca="false">I659</f>
        <v>8</v>
      </c>
      <c r="Q659" s="19" t="n">
        <v>4.7</v>
      </c>
      <c r="R659" s="0" t="str">
        <f aca="false">TEXT(K659,"mmm yyyy")</f>
        <v>Feb 2019</v>
      </c>
      <c r="S659" s="14" t="n">
        <f aca="false">HOUR(TIMEVALUE(L659))</f>
        <v>16</v>
      </c>
      <c r="T659" s="0" t="str">
        <f aca="false">IF(S659&lt;12,"Morning",IF(S659&lt;17,"Afternoon","Evening"))</f>
        <v>Afternoon</v>
      </c>
      <c r="U659" s="16" t="n">
        <f aca="false">G659*H659*0.05</f>
        <v>8</v>
      </c>
    </row>
    <row r="660" customFormat="false" ht="15" hidden="false" customHeight="false" outlineLevel="0" collapsed="false">
      <c r="A660" s="0" t="s">
        <v>1120</v>
      </c>
      <c r="B660" s="0" t="s">
        <v>25</v>
      </c>
      <c r="C660" s="0" t="s">
        <v>68</v>
      </c>
      <c r="D660" s="0" t="s">
        <v>22</v>
      </c>
      <c r="E660" s="0" t="s">
        <v>57</v>
      </c>
      <c r="F660" s="0" t="s">
        <v>23</v>
      </c>
      <c r="G660" s="16" t="n">
        <v>43.88</v>
      </c>
      <c r="H660" s="0" t="n">
        <v>8</v>
      </c>
      <c r="I660" s="16" t="n">
        <f aca="false">G660*H660*0.05</f>
        <v>17.552</v>
      </c>
      <c r="J660" s="16" t="n">
        <f aca="false">G660*H660*1.05</f>
        <v>368.592</v>
      </c>
      <c r="K660" s="17" t="n">
        <v>43524</v>
      </c>
      <c r="L660" s="14" t="s">
        <v>1121</v>
      </c>
      <c r="M660" s="14" t="s">
        <v>34</v>
      </c>
      <c r="N660" s="16" t="n">
        <f aca="false">G660*H660</f>
        <v>351.04</v>
      </c>
      <c r="O660" s="18" t="n">
        <v>4.761904762</v>
      </c>
      <c r="P660" s="16" t="n">
        <f aca="false">I660</f>
        <v>17.552</v>
      </c>
      <c r="Q660" s="19" t="n">
        <v>8.1</v>
      </c>
      <c r="R660" s="0" t="str">
        <f aca="false">TEXT(K660,"mmm yyyy")</f>
        <v>Feb 2019</v>
      </c>
      <c r="S660" s="14" t="n">
        <f aca="false">HOUR(TIMEVALUE(L660))</f>
        <v>18</v>
      </c>
      <c r="T660" s="0" t="str">
        <f aca="false">IF(S660&lt;12,"Morning",IF(S660&lt;17,"Afternoon","Evening"))</f>
        <v>Evening</v>
      </c>
      <c r="U660" s="16" t="n">
        <f aca="false">G660*H660*0.05</f>
        <v>17.552</v>
      </c>
    </row>
    <row r="661" customFormat="false" ht="15" hidden="false" customHeight="false" outlineLevel="0" collapsed="false">
      <c r="A661" s="0" t="s">
        <v>1122</v>
      </c>
      <c r="B661" s="0" t="s">
        <v>25</v>
      </c>
      <c r="C661" s="0" t="s">
        <v>68</v>
      </c>
      <c r="D661" s="0" t="s">
        <v>21</v>
      </c>
      <c r="E661" s="0" t="s">
        <v>57</v>
      </c>
      <c r="F661" s="0" t="s">
        <v>31</v>
      </c>
      <c r="G661" s="16" t="n">
        <v>79.65</v>
      </c>
      <c r="H661" s="0" t="n">
        <v>1</v>
      </c>
      <c r="I661" s="16" t="n">
        <f aca="false">G661*H661*0.05</f>
        <v>3.9825</v>
      </c>
      <c r="J661" s="16" t="n">
        <f aca="false">G661*H661*1.05</f>
        <v>83.6325</v>
      </c>
      <c r="K661" s="17" t="n">
        <v>43524</v>
      </c>
      <c r="L661" s="14" t="s">
        <v>617</v>
      </c>
      <c r="M661" s="14" t="s">
        <v>30</v>
      </c>
      <c r="N661" s="16" t="n">
        <f aca="false">G661*H661</f>
        <v>79.65</v>
      </c>
      <c r="O661" s="18" t="n">
        <v>4.761904762</v>
      </c>
      <c r="P661" s="16" t="n">
        <f aca="false">I661</f>
        <v>3.9825</v>
      </c>
      <c r="Q661" s="19" t="n">
        <v>5.2</v>
      </c>
      <c r="R661" s="0" t="str">
        <f aca="false">TEXT(K661,"mmm yyyy")</f>
        <v>Feb 2019</v>
      </c>
      <c r="S661" s="14" t="n">
        <f aca="false">HOUR(TIMEVALUE(L661))</f>
        <v>17</v>
      </c>
      <c r="T661" s="0" t="str">
        <f aca="false">IF(S661&lt;12,"Morning",IF(S661&lt;17,"Afternoon","Evening"))</f>
        <v>Evening</v>
      </c>
      <c r="U661" s="16" t="n">
        <f aca="false">G661*H661*0.05</f>
        <v>3.9825</v>
      </c>
    </row>
    <row r="662" customFormat="false" ht="15" hidden="false" customHeight="false" outlineLevel="0" collapsed="false">
      <c r="A662" s="0" t="s">
        <v>1123</v>
      </c>
      <c r="B662" s="0" t="s">
        <v>25</v>
      </c>
      <c r="C662" s="0" t="s">
        <v>68</v>
      </c>
      <c r="D662" s="0" t="s">
        <v>22</v>
      </c>
      <c r="E662" s="0" t="s">
        <v>60</v>
      </c>
      <c r="F662" s="0" t="s">
        <v>36</v>
      </c>
      <c r="G662" s="16" t="n">
        <v>72.28</v>
      </c>
      <c r="H662" s="0" t="n">
        <v>9</v>
      </c>
      <c r="I662" s="16" t="n">
        <f aca="false">G662*H662*0.05</f>
        <v>32.526</v>
      </c>
      <c r="J662" s="16" t="n">
        <f aca="false">G662*H662*1.05</f>
        <v>683.046</v>
      </c>
      <c r="K662" s="17" t="n">
        <v>43524</v>
      </c>
      <c r="L662" s="14" t="s">
        <v>1124</v>
      </c>
      <c r="M662" s="14" t="s">
        <v>34</v>
      </c>
      <c r="N662" s="16" t="n">
        <f aca="false">G662*H662</f>
        <v>650.52</v>
      </c>
      <c r="O662" s="18" t="n">
        <v>4.761904762</v>
      </c>
      <c r="P662" s="16" t="n">
        <f aca="false">I662</f>
        <v>32.526</v>
      </c>
      <c r="Q662" s="19" t="n">
        <v>7.6</v>
      </c>
      <c r="R662" s="0" t="str">
        <f aca="false">TEXT(K662,"mmm yyyy")</f>
        <v>Feb 2019</v>
      </c>
      <c r="S662" s="14" t="n">
        <f aca="false">HOUR(TIMEVALUE(L662))</f>
        <v>14</v>
      </c>
      <c r="T662" s="0" t="str">
        <f aca="false">IF(S662&lt;12,"Morning",IF(S662&lt;17,"Afternoon","Evening"))</f>
        <v>Afternoon</v>
      </c>
      <c r="U662" s="16" t="n">
        <f aca="false">G662*H662*0.05</f>
        <v>32.526</v>
      </c>
    </row>
    <row r="663" customFormat="false" ht="15" hidden="false" customHeight="false" outlineLevel="0" collapsed="false">
      <c r="A663" s="0" t="s">
        <v>1125</v>
      </c>
      <c r="B663" s="0" t="s">
        <v>29</v>
      </c>
      <c r="C663" s="0" t="s">
        <v>56</v>
      </c>
      <c r="D663" s="0" t="s">
        <v>22</v>
      </c>
      <c r="E663" s="0" t="s">
        <v>57</v>
      </c>
      <c r="F663" s="0" t="s">
        <v>23</v>
      </c>
      <c r="G663" s="16" t="n">
        <v>45.65</v>
      </c>
      <c r="H663" s="0" t="n">
        <v>5</v>
      </c>
      <c r="I663" s="16" t="n">
        <f aca="false">G663*H663*0.05</f>
        <v>11.4125</v>
      </c>
      <c r="J663" s="16" t="n">
        <f aca="false">G663*H663*1.05</f>
        <v>239.6625</v>
      </c>
      <c r="K663" s="17" t="n">
        <v>43524</v>
      </c>
      <c r="L663" s="14" t="s">
        <v>1126</v>
      </c>
      <c r="M663" s="14" t="s">
        <v>30</v>
      </c>
      <c r="N663" s="16" t="n">
        <f aca="false">G663*H663</f>
        <v>228.25</v>
      </c>
      <c r="O663" s="18" t="n">
        <v>4.761904762</v>
      </c>
      <c r="P663" s="16" t="n">
        <f aca="false">I663</f>
        <v>11.4125</v>
      </c>
      <c r="Q663" s="19" t="n">
        <v>9.2</v>
      </c>
      <c r="R663" s="0" t="str">
        <f aca="false">TEXT(K663,"mmm yyyy")</f>
        <v>Feb 2019</v>
      </c>
      <c r="S663" s="14" t="n">
        <f aca="false">HOUR(TIMEVALUE(L663))</f>
        <v>13</v>
      </c>
      <c r="T663" s="0" t="str">
        <f aca="false">IF(S663&lt;12,"Morning",IF(S663&lt;17,"Afternoon","Evening"))</f>
        <v>Afternoon</v>
      </c>
      <c r="U663" s="16" t="n">
        <f aca="false">G663*H663*0.05</f>
        <v>11.4125</v>
      </c>
    </row>
    <row r="664" customFormat="false" ht="15" hidden="false" customHeight="false" outlineLevel="0" collapsed="false">
      <c r="A664" s="0" t="s">
        <v>1127</v>
      </c>
      <c r="B664" s="0" t="s">
        <v>25</v>
      </c>
      <c r="C664" s="0" t="s">
        <v>68</v>
      </c>
      <c r="D664" s="0" t="s">
        <v>21</v>
      </c>
      <c r="E664" s="0" t="s">
        <v>57</v>
      </c>
      <c r="F664" s="0" t="s">
        <v>35</v>
      </c>
      <c r="G664" s="16" t="n">
        <v>38.32</v>
      </c>
      <c r="H664" s="0" t="n">
        <v>3</v>
      </c>
      <c r="I664" s="16" t="n">
        <f aca="false">G664*H664*0.05</f>
        <v>5.748</v>
      </c>
      <c r="J664" s="16" t="n">
        <f aca="false">G664*H664*1.05</f>
        <v>120.708</v>
      </c>
      <c r="K664" s="17" t="n">
        <v>43524</v>
      </c>
      <c r="L664" s="14" t="s">
        <v>382</v>
      </c>
      <c r="M664" s="14" t="s">
        <v>34</v>
      </c>
      <c r="N664" s="16" t="n">
        <f aca="false">G664*H664</f>
        <v>114.96</v>
      </c>
      <c r="O664" s="18" t="n">
        <v>4.761904762</v>
      </c>
      <c r="P664" s="16" t="n">
        <f aca="false">I664</f>
        <v>5.748</v>
      </c>
      <c r="Q664" s="19" t="n">
        <v>7.2</v>
      </c>
      <c r="R664" s="0" t="str">
        <f aca="false">TEXT(K664,"mmm yyyy")</f>
        <v>Feb 2019</v>
      </c>
      <c r="S664" s="14" t="n">
        <f aca="false">HOUR(TIMEVALUE(L664))</f>
        <v>20</v>
      </c>
      <c r="T664" s="0" t="str">
        <f aca="false">IF(S664&lt;12,"Morning",IF(S664&lt;17,"Afternoon","Evening"))</f>
        <v>Evening</v>
      </c>
      <c r="U664" s="16" t="n">
        <f aca="false">G664*H664*0.05</f>
        <v>5.748</v>
      </c>
    </row>
    <row r="665" customFormat="false" ht="15" hidden="false" customHeight="false" outlineLevel="0" collapsed="false">
      <c r="A665" s="0" t="s">
        <v>1128</v>
      </c>
      <c r="B665" s="0" t="s">
        <v>29</v>
      </c>
      <c r="C665" s="0" t="s">
        <v>56</v>
      </c>
      <c r="D665" s="0" t="s">
        <v>21</v>
      </c>
      <c r="E665" s="0" t="s">
        <v>57</v>
      </c>
      <c r="F665" s="0" t="s">
        <v>37</v>
      </c>
      <c r="G665" s="16" t="n">
        <v>53.52</v>
      </c>
      <c r="H665" s="0" t="n">
        <v>10</v>
      </c>
      <c r="I665" s="16" t="n">
        <f aca="false">G665*H665*0.05</f>
        <v>26.76</v>
      </c>
      <c r="J665" s="16" t="n">
        <f aca="false">G665*H665*1.05</f>
        <v>561.96</v>
      </c>
      <c r="K665" s="17" t="n">
        <v>43524</v>
      </c>
      <c r="L665" s="14" t="s">
        <v>226</v>
      </c>
      <c r="M665" s="14" t="s">
        <v>34</v>
      </c>
      <c r="N665" s="16" t="n">
        <f aca="false">G665*H665</f>
        <v>535.2</v>
      </c>
      <c r="O665" s="18" t="n">
        <v>4.761904762</v>
      </c>
      <c r="P665" s="16" t="n">
        <f aca="false">I665</f>
        <v>26.76</v>
      </c>
      <c r="Q665" s="19" t="n">
        <v>7.5</v>
      </c>
      <c r="R665" s="0" t="str">
        <f aca="false">TEXT(K665,"mmm yyyy")</f>
        <v>Feb 2019</v>
      </c>
      <c r="S665" s="14" t="n">
        <f aca="false">HOUR(TIMEVALUE(L665))</f>
        <v>13</v>
      </c>
      <c r="T665" s="0" t="str">
        <f aca="false">IF(S665&lt;12,"Morning",IF(S665&lt;17,"Afternoon","Evening"))</f>
        <v>Afternoon</v>
      </c>
      <c r="U665" s="16" t="n">
        <f aca="false">G665*H665*0.05</f>
        <v>26.76</v>
      </c>
    </row>
    <row r="666" customFormat="false" ht="15" hidden="false" customHeight="false" outlineLevel="0" collapsed="false">
      <c r="A666" s="0" t="s">
        <v>1129</v>
      </c>
      <c r="B666" s="0" t="s">
        <v>33</v>
      </c>
      <c r="C666" s="0" t="s">
        <v>65</v>
      </c>
      <c r="D666" s="0" t="s">
        <v>22</v>
      </c>
      <c r="E666" s="0" t="s">
        <v>60</v>
      </c>
      <c r="F666" s="0" t="s">
        <v>35</v>
      </c>
      <c r="G666" s="16" t="n">
        <v>54.69</v>
      </c>
      <c r="H666" s="0" t="n">
        <v>9</v>
      </c>
      <c r="I666" s="16" t="n">
        <f aca="false">G666*H666*0.05</f>
        <v>24.6105</v>
      </c>
      <c r="J666" s="16" t="n">
        <f aca="false">G666*H666*1.05</f>
        <v>516.8205</v>
      </c>
      <c r="K666" s="17" t="n">
        <v>43524</v>
      </c>
      <c r="L666" s="14" t="s">
        <v>1130</v>
      </c>
      <c r="M666" s="14" t="s">
        <v>34</v>
      </c>
      <c r="N666" s="16" t="n">
        <f aca="false">G666*H666</f>
        <v>492.21</v>
      </c>
      <c r="O666" s="18" t="n">
        <v>4.761904762</v>
      </c>
      <c r="P666" s="16" t="n">
        <f aca="false">I666</f>
        <v>24.6105</v>
      </c>
      <c r="Q666" s="19" t="n">
        <v>7.8</v>
      </c>
      <c r="R666" s="0" t="str">
        <f aca="false">TEXT(K666,"mmm yyyy")</f>
        <v>Feb 2019</v>
      </c>
      <c r="S666" s="14" t="n">
        <f aca="false">HOUR(TIMEVALUE(L666))</f>
        <v>20</v>
      </c>
      <c r="T666" s="0" t="str">
        <f aca="false">IF(S666&lt;12,"Morning",IF(S666&lt;17,"Afternoon","Evening"))</f>
        <v>Evening</v>
      </c>
      <c r="U666" s="16" t="n">
        <f aca="false">G666*H666*0.05</f>
        <v>24.6105</v>
      </c>
    </row>
    <row r="667" customFormat="false" ht="15" hidden="false" customHeight="false" outlineLevel="0" collapsed="false">
      <c r="A667" s="0" t="s">
        <v>1131</v>
      </c>
      <c r="B667" s="0" t="s">
        <v>25</v>
      </c>
      <c r="C667" s="0" t="s">
        <v>68</v>
      </c>
      <c r="D667" s="0" t="s">
        <v>22</v>
      </c>
      <c r="E667" s="0" t="s">
        <v>60</v>
      </c>
      <c r="F667" s="0" t="s">
        <v>31</v>
      </c>
      <c r="G667" s="16" t="n">
        <v>54.59</v>
      </c>
      <c r="H667" s="0" t="n">
        <v>8</v>
      </c>
      <c r="I667" s="16" t="n">
        <f aca="false">G667*H667*0.05</f>
        <v>21.836</v>
      </c>
      <c r="J667" s="16" t="n">
        <f aca="false">G667*H667*1.05</f>
        <v>458.556</v>
      </c>
      <c r="K667" s="17" t="n">
        <v>43524</v>
      </c>
      <c r="L667" s="14" t="s">
        <v>636</v>
      </c>
      <c r="M667" s="14" t="s">
        <v>30</v>
      </c>
      <c r="N667" s="16" t="n">
        <f aca="false">G667*H667</f>
        <v>436.72</v>
      </c>
      <c r="O667" s="18" t="n">
        <v>4.761904762</v>
      </c>
      <c r="P667" s="16" t="n">
        <f aca="false">I667</f>
        <v>21.836</v>
      </c>
      <c r="Q667" s="19" t="n">
        <v>4.8</v>
      </c>
      <c r="R667" s="0" t="str">
        <f aca="false">TEXT(K667,"mmm yyyy")</f>
        <v>Feb 2019</v>
      </c>
      <c r="S667" s="14" t="n">
        <f aca="false">HOUR(TIMEVALUE(L667))</f>
        <v>14</v>
      </c>
      <c r="T667" s="0" t="str">
        <f aca="false">IF(S667&lt;12,"Morning",IF(S667&lt;17,"Afternoon","Evening"))</f>
        <v>Afternoon</v>
      </c>
      <c r="U667" s="16" t="n">
        <f aca="false">G667*H667*0.05</f>
        <v>21.836</v>
      </c>
    </row>
    <row r="668" customFormat="false" ht="15" hidden="false" customHeight="false" outlineLevel="0" collapsed="false">
      <c r="A668" s="0" t="s">
        <v>1132</v>
      </c>
      <c r="B668" s="0" t="s">
        <v>29</v>
      </c>
      <c r="C668" s="0" t="s">
        <v>56</v>
      </c>
      <c r="D668" s="0" t="s">
        <v>22</v>
      </c>
      <c r="E668" s="0" t="s">
        <v>60</v>
      </c>
      <c r="F668" s="0" t="s">
        <v>35</v>
      </c>
      <c r="G668" s="16" t="n">
        <v>28.78</v>
      </c>
      <c r="H668" s="0" t="n">
        <v>1</v>
      </c>
      <c r="I668" s="16" t="n">
        <f aca="false">G668*H668*0.05</f>
        <v>1.439</v>
      </c>
      <c r="J668" s="16" t="n">
        <f aca="false">G668*H668*1.05</f>
        <v>30.219</v>
      </c>
      <c r="K668" s="17" t="n">
        <v>43524</v>
      </c>
      <c r="L668" s="14" t="s">
        <v>492</v>
      </c>
      <c r="M668" s="14" t="s">
        <v>26</v>
      </c>
      <c r="N668" s="16" t="n">
        <f aca="false">G668*H668</f>
        <v>28.78</v>
      </c>
      <c r="O668" s="18" t="n">
        <v>4.761904762</v>
      </c>
      <c r="P668" s="16" t="n">
        <f aca="false">I668</f>
        <v>1.439</v>
      </c>
      <c r="Q668" s="19" t="n">
        <v>4</v>
      </c>
      <c r="R668" s="0" t="str">
        <f aca="false">TEXT(K668,"mmm yyyy")</f>
        <v>Feb 2019</v>
      </c>
      <c r="S668" s="14" t="n">
        <f aca="false">HOUR(TIMEVALUE(L668))</f>
        <v>15</v>
      </c>
      <c r="T668" s="0" t="str">
        <f aca="false">IF(S668&lt;12,"Morning",IF(S668&lt;17,"Afternoon","Evening"))</f>
        <v>Afternoon</v>
      </c>
      <c r="U668" s="16" t="n">
        <f aca="false">G668*H668*0.05</f>
        <v>1.439</v>
      </c>
    </row>
    <row r="669" customFormat="false" ht="15" hidden="false" customHeight="false" outlineLevel="0" collapsed="false">
      <c r="A669" s="0" t="s">
        <v>1133</v>
      </c>
      <c r="B669" s="0" t="s">
        <v>29</v>
      </c>
      <c r="C669" s="0" t="s">
        <v>56</v>
      </c>
      <c r="D669" s="0" t="s">
        <v>21</v>
      </c>
      <c r="E669" s="0" t="s">
        <v>57</v>
      </c>
      <c r="F669" s="0" t="s">
        <v>36</v>
      </c>
      <c r="G669" s="16" t="n">
        <v>30.71</v>
      </c>
      <c r="H669" s="0" t="n">
        <v>6</v>
      </c>
      <c r="I669" s="16" t="n">
        <f aca="false">G669*H669*0.05</f>
        <v>9.213</v>
      </c>
      <c r="J669" s="16" t="n">
        <f aca="false">G669*H669*1.05</f>
        <v>193.473</v>
      </c>
      <c r="K669" s="17" t="n">
        <v>43524</v>
      </c>
      <c r="L669" s="14" t="s">
        <v>749</v>
      </c>
      <c r="M669" s="14" t="s">
        <v>30</v>
      </c>
      <c r="N669" s="16" t="n">
        <f aca="false">G669*H669</f>
        <v>184.26</v>
      </c>
      <c r="O669" s="18" t="n">
        <v>4.761904762</v>
      </c>
      <c r="P669" s="16" t="n">
        <f aca="false">I669</f>
        <v>9.213</v>
      </c>
      <c r="Q669" s="19" t="n">
        <v>4.3</v>
      </c>
      <c r="R669" s="0" t="str">
        <f aca="false">TEXT(K669,"mmm yyyy")</f>
        <v>Feb 2019</v>
      </c>
      <c r="S669" s="14" t="n">
        <f aca="false">HOUR(TIMEVALUE(L669))</f>
        <v>19</v>
      </c>
      <c r="T669" s="0" t="str">
        <f aca="false">IF(S669&lt;12,"Morning",IF(S669&lt;17,"Afternoon","Evening"))</f>
        <v>Evening</v>
      </c>
      <c r="U669" s="16" t="n">
        <f aca="false">G669*H669*0.05</f>
        <v>9.213</v>
      </c>
    </row>
    <row r="670" customFormat="false" ht="15" hidden="false" customHeight="false" outlineLevel="0" collapsed="false">
      <c r="A670" s="0" t="s">
        <v>1134</v>
      </c>
      <c r="B670" s="0" t="s">
        <v>29</v>
      </c>
      <c r="C670" s="0" t="s">
        <v>56</v>
      </c>
      <c r="D670" s="0" t="s">
        <v>22</v>
      </c>
      <c r="E670" s="0" t="s">
        <v>57</v>
      </c>
      <c r="F670" s="0" t="s">
        <v>36</v>
      </c>
      <c r="G670" s="16" t="n">
        <v>72</v>
      </c>
      <c r="H670" s="0" t="n">
        <v>8</v>
      </c>
      <c r="I670" s="16" t="n">
        <f aca="false">G670*H670*0.05</f>
        <v>28.8</v>
      </c>
      <c r="J670" s="16" t="n">
        <f aca="false">G670*H670*1.05</f>
        <v>604.8</v>
      </c>
      <c r="K670" s="17" t="n">
        <v>43524</v>
      </c>
      <c r="L670" s="14" t="s">
        <v>613</v>
      </c>
      <c r="M670" s="14" t="s">
        <v>26</v>
      </c>
      <c r="N670" s="16" t="n">
        <f aca="false">G670*H670</f>
        <v>576</v>
      </c>
      <c r="O670" s="18" t="n">
        <v>4.761904762</v>
      </c>
      <c r="P670" s="16" t="n">
        <f aca="false">I670</f>
        <v>28.8</v>
      </c>
      <c r="Q670" s="19" t="n">
        <v>5.2</v>
      </c>
      <c r="R670" s="0" t="str">
        <f aca="false">TEXT(K670,"mmm yyyy")</f>
        <v>Feb 2019</v>
      </c>
      <c r="S670" s="14" t="n">
        <f aca="false">HOUR(TIMEVALUE(L670))</f>
        <v>10</v>
      </c>
      <c r="T670" s="0" t="str">
        <f aca="false">IF(S670&lt;12,"Morning",IF(S670&lt;17,"Afternoon","Evening"))</f>
        <v>Morning</v>
      </c>
      <c r="U670" s="16" t="n">
        <f aca="false">G670*H670*0.05</f>
        <v>28.8</v>
      </c>
    </row>
    <row r="671" customFormat="false" ht="15" hidden="false" customHeight="false" outlineLevel="0" collapsed="false">
      <c r="A671" s="0" t="s">
        <v>1135</v>
      </c>
      <c r="B671" s="0" t="s">
        <v>29</v>
      </c>
      <c r="C671" s="0" t="s">
        <v>56</v>
      </c>
      <c r="D671" s="0" t="s">
        <v>21</v>
      </c>
      <c r="E671" s="0" t="s">
        <v>57</v>
      </c>
      <c r="F671" s="0" t="s">
        <v>35</v>
      </c>
      <c r="G671" s="16" t="n">
        <v>44.92</v>
      </c>
      <c r="H671" s="0" t="n">
        <v>8</v>
      </c>
      <c r="I671" s="16" t="n">
        <f aca="false">G671*H671*0.05</f>
        <v>17.968</v>
      </c>
      <c r="J671" s="16" t="n">
        <f aca="false">G671*H671*1.05</f>
        <v>377.328</v>
      </c>
      <c r="K671" s="17" t="n">
        <v>43524</v>
      </c>
      <c r="L671" s="14" t="s">
        <v>364</v>
      </c>
      <c r="M671" s="14" t="s">
        <v>34</v>
      </c>
      <c r="N671" s="16" t="n">
        <f aca="false">G671*H671</f>
        <v>359.36</v>
      </c>
      <c r="O671" s="18" t="n">
        <v>4.761904762</v>
      </c>
      <c r="P671" s="16" t="n">
        <f aca="false">I671</f>
        <v>17.968</v>
      </c>
      <c r="Q671" s="19" t="n">
        <v>5.7</v>
      </c>
      <c r="R671" s="0" t="str">
        <f aca="false">TEXT(K671,"mmm yyyy")</f>
        <v>Feb 2019</v>
      </c>
      <c r="S671" s="14" t="n">
        <f aca="false">HOUR(TIMEVALUE(L671))</f>
        <v>10</v>
      </c>
      <c r="T671" s="0" t="str">
        <f aca="false">IF(S671&lt;12,"Morning",IF(S671&lt;17,"Afternoon","Evening"))</f>
        <v>Morning</v>
      </c>
      <c r="U671" s="16" t="n">
        <f aca="false">G671*H671*0.05</f>
        <v>17.968</v>
      </c>
    </row>
    <row r="672" customFormat="false" ht="15" hidden="false" customHeight="false" outlineLevel="0" collapsed="false">
      <c r="A672" s="0" t="s">
        <v>1136</v>
      </c>
      <c r="B672" s="0" t="s">
        <v>25</v>
      </c>
      <c r="C672" s="0" t="s">
        <v>68</v>
      </c>
      <c r="D672" s="0" t="s">
        <v>22</v>
      </c>
      <c r="E672" s="0" t="s">
        <v>60</v>
      </c>
      <c r="F672" s="0" t="s">
        <v>37</v>
      </c>
      <c r="G672" s="16" t="n">
        <v>19.92</v>
      </c>
      <c r="H672" s="0" t="n">
        <v>9</v>
      </c>
      <c r="I672" s="16" t="n">
        <f aca="false">G672*H672*0.05</f>
        <v>8.964</v>
      </c>
      <c r="J672" s="16" t="n">
        <f aca="false">G672*H672*1.05</f>
        <v>188.244</v>
      </c>
      <c r="K672" s="17" t="n">
        <v>43524</v>
      </c>
      <c r="L672" s="14" t="s">
        <v>1137</v>
      </c>
      <c r="M672" s="14" t="s">
        <v>30</v>
      </c>
      <c r="N672" s="16" t="n">
        <f aca="false">G672*H672</f>
        <v>179.28</v>
      </c>
      <c r="O672" s="18" t="n">
        <v>4.761904762</v>
      </c>
      <c r="P672" s="16" t="n">
        <f aca="false">I672</f>
        <v>8.964</v>
      </c>
      <c r="Q672" s="19" t="n">
        <v>4.1</v>
      </c>
      <c r="R672" s="0" t="str">
        <f aca="false">TEXT(K672,"mmm yyyy")</f>
        <v>Feb 2019</v>
      </c>
      <c r="S672" s="14" t="n">
        <f aca="false">HOUR(TIMEVALUE(L672))</f>
        <v>11</v>
      </c>
      <c r="T672" s="0" t="str">
        <f aca="false">IF(S672&lt;12,"Morning",IF(S672&lt;17,"Afternoon","Evening"))</f>
        <v>Morning</v>
      </c>
      <c r="U672" s="16" t="n">
        <f aca="false">G672*H672*0.05</f>
        <v>8.964</v>
      </c>
    </row>
    <row r="673" customFormat="false" ht="15" hidden="false" customHeight="false" outlineLevel="0" collapsed="false">
      <c r="A673" s="0" t="s">
        <v>1138</v>
      </c>
      <c r="B673" s="0" t="s">
        <v>29</v>
      </c>
      <c r="C673" s="0" t="s">
        <v>56</v>
      </c>
      <c r="D673" s="0" t="s">
        <v>22</v>
      </c>
      <c r="E673" s="0" t="s">
        <v>57</v>
      </c>
      <c r="F673" s="0" t="s">
        <v>31</v>
      </c>
      <c r="G673" s="16" t="n">
        <v>24.18</v>
      </c>
      <c r="H673" s="0" t="n">
        <v>9</v>
      </c>
      <c r="I673" s="16" t="n">
        <f aca="false">G673*H673*0.05</f>
        <v>10.881</v>
      </c>
      <c r="J673" s="16" t="n">
        <f aca="false">G673*H673*1.05</f>
        <v>228.501</v>
      </c>
      <c r="K673" s="17" t="n">
        <v>43524</v>
      </c>
      <c r="L673" s="14" t="s">
        <v>1139</v>
      </c>
      <c r="M673" s="14" t="s">
        <v>30</v>
      </c>
      <c r="N673" s="16" t="n">
        <f aca="false">G673*H673</f>
        <v>217.62</v>
      </c>
      <c r="O673" s="18" t="n">
        <v>4.761904762</v>
      </c>
      <c r="P673" s="16" t="n">
        <f aca="false">I673</f>
        <v>10.881</v>
      </c>
      <c r="Q673" s="19" t="n">
        <v>8.3</v>
      </c>
      <c r="R673" s="0" t="str">
        <f aca="false">TEXT(K673,"mmm yyyy")</f>
        <v>Feb 2019</v>
      </c>
      <c r="S673" s="14" t="n">
        <f aca="false">HOUR(TIMEVALUE(L673))</f>
        <v>16</v>
      </c>
      <c r="T673" s="0" t="str">
        <f aca="false">IF(S673&lt;12,"Morning",IF(S673&lt;17,"Afternoon","Evening"))</f>
        <v>Afternoon</v>
      </c>
      <c r="U673" s="16" t="n">
        <f aca="false">G673*H673*0.05</f>
        <v>10.881</v>
      </c>
    </row>
    <row r="674" customFormat="false" ht="15" hidden="false" customHeight="false" outlineLevel="0" collapsed="false">
      <c r="A674" s="0" t="s">
        <v>1140</v>
      </c>
      <c r="B674" s="0" t="s">
        <v>29</v>
      </c>
      <c r="C674" s="0" t="s">
        <v>56</v>
      </c>
      <c r="D674" s="0" t="s">
        <v>22</v>
      </c>
      <c r="E674" s="0" t="s">
        <v>60</v>
      </c>
      <c r="F674" s="0" t="s">
        <v>37</v>
      </c>
      <c r="G674" s="16" t="n">
        <v>34.29</v>
      </c>
      <c r="H674" s="0" t="n">
        <v>10</v>
      </c>
      <c r="I674" s="16" t="n">
        <f aca="false">G674*H674*0.05</f>
        <v>17.145</v>
      </c>
      <c r="J674" s="16" t="n">
        <f aca="false">G674*H674*1.05</f>
        <v>360.045</v>
      </c>
      <c r="K674" s="17" t="n">
        <v>43524</v>
      </c>
      <c r="L674" s="14" t="s">
        <v>569</v>
      </c>
      <c r="M674" s="14" t="s">
        <v>34</v>
      </c>
      <c r="N674" s="16" t="n">
        <f aca="false">G674*H674</f>
        <v>342.9</v>
      </c>
      <c r="O674" s="18" t="n">
        <v>4.761904762</v>
      </c>
      <c r="P674" s="16" t="n">
        <f aca="false">I674</f>
        <v>17.145</v>
      </c>
      <c r="Q674" s="19" t="n">
        <v>5.4</v>
      </c>
      <c r="R674" s="0" t="str">
        <f aca="false">TEXT(K674,"mmm yyyy")</f>
        <v>Feb 2019</v>
      </c>
      <c r="S674" s="14" t="n">
        <f aca="false">HOUR(TIMEVALUE(L674))</f>
        <v>13</v>
      </c>
      <c r="T674" s="0" t="str">
        <f aca="false">IF(S674&lt;12,"Morning",IF(S674&lt;17,"Afternoon","Evening"))</f>
        <v>Afternoon</v>
      </c>
      <c r="U674" s="16" t="n">
        <f aca="false">G674*H674*0.05</f>
        <v>17.145</v>
      </c>
    </row>
    <row r="675" customFormat="false" ht="15" hidden="false" customHeight="false" outlineLevel="0" collapsed="false">
      <c r="A675" s="0" t="s">
        <v>1141</v>
      </c>
      <c r="B675" s="0" t="s">
        <v>25</v>
      </c>
      <c r="C675" s="0" t="s">
        <v>68</v>
      </c>
      <c r="D675" s="0" t="s">
        <v>21</v>
      </c>
      <c r="E675" s="0" t="s">
        <v>57</v>
      </c>
      <c r="F675" s="0" t="s">
        <v>36</v>
      </c>
      <c r="G675" s="16" t="n">
        <v>98.31</v>
      </c>
      <c r="H675" s="0" t="n">
        <v>5</v>
      </c>
      <c r="I675" s="16" t="n">
        <f aca="false">G675*H675*0.05</f>
        <v>24.5775</v>
      </c>
      <c r="J675" s="16" t="n">
        <f aca="false">G675*H675*1.05</f>
        <v>516.1275</v>
      </c>
      <c r="K675" s="17" t="n">
        <v>43525</v>
      </c>
      <c r="L675" s="14" t="s">
        <v>1142</v>
      </c>
      <c r="M675" s="14" t="s">
        <v>30</v>
      </c>
      <c r="N675" s="16" t="n">
        <f aca="false">G675*H675</f>
        <v>491.55</v>
      </c>
      <c r="O675" s="18" t="n">
        <v>4.761904762</v>
      </c>
      <c r="P675" s="16" t="n">
        <f aca="false">I675</f>
        <v>24.5775</v>
      </c>
      <c r="Q675" s="19" t="n">
        <v>7.8</v>
      </c>
      <c r="R675" s="0" t="str">
        <f aca="false">TEXT(K675,"mmm yyyy")</f>
        <v>Mar 2019</v>
      </c>
      <c r="S675" s="14" t="n">
        <f aca="false">HOUR(TIMEVALUE(L675))</f>
        <v>14</v>
      </c>
      <c r="T675" s="0" t="str">
        <f aca="false">IF(S675&lt;12,"Morning",IF(S675&lt;17,"Afternoon","Evening"))</f>
        <v>Afternoon</v>
      </c>
      <c r="U675" s="16" t="n">
        <f aca="false">G675*H675*0.05</f>
        <v>24.5775</v>
      </c>
    </row>
    <row r="676" customFormat="false" ht="15" hidden="false" customHeight="false" outlineLevel="0" collapsed="false">
      <c r="A676" s="0" t="s">
        <v>1143</v>
      </c>
      <c r="B676" s="0" t="s">
        <v>29</v>
      </c>
      <c r="C676" s="0" t="s">
        <v>56</v>
      </c>
      <c r="D676" s="0" t="s">
        <v>22</v>
      </c>
      <c r="E676" s="0" t="s">
        <v>57</v>
      </c>
      <c r="F676" s="0" t="s">
        <v>37</v>
      </c>
      <c r="G676" s="16" t="n">
        <v>41.62</v>
      </c>
      <c r="H676" s="0" t="n">
        <v>6</v>
      </c>
      <c r="I676" s="16" t="n">
        <f aca="false">G676*H676*0.05</f>
        <v>12.486</v>
      </c>
      <c r="J676" s="16" t="n">
        <f aca="false">G676*H676*1.05</f>
        <v>262.206</v>
      </c>
      <c r="K676" s="17" t="n">
        <v>43525</v>
      </c>
      <c r="L676" s="14" t="s">
        <v>1015</v>
      </c>
      <c r="M676" s="14" t="s">
        <v>26</v>
      </c>
      <c r="N676" s="16" t="n">
        <f aca="false">G676*H676</f>
        <v>249.72</v>
      </c>
      <c r="O676" s="18" t="n">
        <v>4.761904762</v>
      </c>
      <c r="P676" s="16" t="n">
        <f aca="false">I676</f>
        <v>12.486</v>
      </c>
      <c r="Q676" s="19" t="n">
        <v>5</v>
      </c>
      <c r="R676" s="0" t="str">
        <f aca="false">TEXT(K676,"mmm yyyy")</f>
        <v>Mar 2019</v>
      </c>
      <c r="S676" s="14" t="n">
        <f aca="false">HOUR(TIMEVALUE(L676))</f>
        <v>12</v>
      </c>
      <c r="T676" s="0" t="str">
        <f aca="false">IF(S676&lt;12,"Morning",IF(S676&lt;17,"Afternoon","Evening"))</f>
        <v>Afternoon</v>
      </c>
      <c r="U676" s="16" t="n">
        <f aca="false">G676*H676*0.05</f>
        <v>12.486</v>
      </c>
    </row>
    <row r="677" customFormat="false" ht="15" hidden="false" customHeight="false" outlineLevel="0" collapsed="false">
      <c r="A677" s="0" t="s">
        <v>1144</v>
      </c>
      <c r="B677" s="0" t="s">
        <v>33</v>
      </c>
      <c r="C677" s="0" t="s">
        <v>65</v>
      </c>
      <c r="D677" s="0" t="s">
        <v>22</v>
      </c>
      <c r="E677" s="0" t="s">
        <v>57</v>
      </c>
      <c r="F677" s="0" t="s">
        <v>36</v>
      </c>
      <c r="G677" s="16" t="n">
        <v>52.05</v>
      </c>
      <c r="H677" s="0" t="n">
        <v>10</v>
      </c>
      <c r="I677" s="16" t="n">
        <f aca="false">G677*H677*0.05</f>
        <v>26.025</v>
      </c>
      <c r="J677" s="16" t="n">
        <f aca="false">G677*H677*1.05</f>
        <v>546.525</v>
      </c>
      <c r="K677" s="17" t="n">
        <v>43525</v>
      </c>
      <c r="L677" s="14" t="s">
        <v>703</v>
      </c>
      <c r="M677" s="14" t="s">
        <v>30</v>
      </c>
      <c r="N677" s="16" t="n">
        <f aca="false">G677*H677</f>
        <v>520.5</v>
      </c>
      <c r="O677" s="18" t="n">
        <v>4.761904762</v>
      </c>
      <c r="P677" s="16" t="n">
        <f aca="false">I677</f>
        <v>26.025</v>
      </c>
      <c r="Q677" s="19" t="n">
        <v>8.2</v>
      </c>
      <c r="R677" s="0" t="str">
        <f aca="false">TEXT(K677,"mmm yyyy")</f>
        <v>Mar 2019</v>
      </c>
      <c r="S677" s="14" t="n">
        <f aca="false">HOUR(TIMEVALUE(L677))</f>
        <v>19</v>
      </c>
      <c r="T677" s="0" t="str">
        <f aca="false">IF(S677&lt;12,"Morning",IF(S677&lt;17,"Afternoon","Evening"))</f>
        <v>Evening</v>
      </c>
      <c r="U677" s="16" t="n">
        <f aca="false">G677*H677*0.05</f>
        <v>26.025</v>
      </c>
    </row>
    <row r="678" customFormat="false" ht="15" hidden="false" customHeight="false" outlineLevel="0" collapsed="false">
      <c r="A678" s="0" t="s">
        <v>1145</v>
      </c>
      <c r="B678" s="0" t="s">
        <v>33</v>
      </c>
      <c r="C678" s="0" t="s">
        <v>65</v>
      </c>
      <c r="D678" s="0" t="s">
        <v>21</v>
      </c>
      <c r="E678" s="0" t="s">
        <v>57</v>
      </c>
      <c r="F678" s="0" t="s">
        <v>31</v>
      </c>
      <c r="G678" s="16" t="n">
        <v>95.54</v>
      </c>
      <c r="H678" s="0" t="n">
        <v>10</v>
      </c>
      <c r="I678" s="16" t="n">
        <f aca="false">G678*H678*0.05</f>
        <v>47.77</v>
      </c>
      <c r="J678" s="16" t="n">
        <f aca="false">G678*H678*1.05</f>
        <v>1003.17</v>
      </c>
      <c r="K678" s="17" t="n">
        <v>43525</v>
      </c>
      <c r="L678" s="14" t="s">
        <v>1146</v>
      </c>
      <c r="M678" s="14" t="s">
        <v>26</v>
      </c>
      <c r="N678" s="16" t="n">
        <f aca="false">G678*H678</f>
        <v>955.4</v>
      </c>
      <c r="O678" s="18" t="n">
        <v>4.761904762</v>
      </c>
      <c r="P678" s="16" t="n">
        <f aca="false">I678</f>
        <v>47.77</v>
      </c>
      <c r="Q678" s="19" t="n">
        <v>7.4</v>
      </c>
      <c r="R678" s="0" t="str">
        <f aca="false">TEXT(K678,"mmm yyyy")</f>
        <v>Mar 2019</v>
      </c>
      <c r="S678" s="14" t="n">
        <f aca="false">HOUR(TIMEVALUE(L678))</f>
        <v>12</v>
      </c>
      <c r="T678" s="0" t="str">
        <f aca="false">IF(S678&lt;12,"Morning",IF(S678&lt;17,"Afternoon","Evening"))</f>
        <v>Afternoon</v>
      </c>
      <c r="U678" s="16" t="n">
        <f aca="false">G678*H678*0.05</f>
        <v>47.77</v>
      </c>
    </row>
    <row r="679" customFormat="false" ht="15" hidden="false" customHeight="false" outlineLevel="0" collapsed="false">
      <c r="A679" s="0" t="s">
        <v>1147</v>
      </c>
      <c r="B679" s="0" t="s">
        <v>25</v>
      </c>
      <c r="C679" s="0" t="s">
        <v>68</v>
      </c>
      <c r="D679" s="0" t="s">
        <v>21</v>
      </c>
      <c r="E679" s="0" t="s">
        <v>57</v>
      </c>
      <c r="F679" s="0" t="s">
        <v>35</v>
      </c>
      <c r="G679" s="16" t="n">
        <v>84.41</v>
      </c>
      <c r="H679" s="0" t="n">
        <v>3</v>
      </c>
      <c r="I679" s="16" t="n">
        <f aca="false">G679*H679*0.05</f>
        <v>12.6615</v>
      </c>
      <c r="J679" s="16" t="n">
        <f aca="false">G679*H679*1.05</f>
        <v>265.8915</v>
      </c>
      <c r="K679" s="17" t="n">
        <v>43525</v>
      </c>
      <c r="L679" s="14" t="s">
        <v>131</v>
      </c>
      <c r="M679" s="14" t="s">
        <v>26</v>
      </c>
      <c r="N679" s="16" t="n">
        <f aca="false">G679*H679</f>
        <v>253.23</v>
      </c>
      <c r="O679" s="18" t="n">
        <v>4.761904762</v>
      </c>
      <c r="P679" s="16" t="n">
        <f aca="false">I679</f>
        <v>12.6615</v>
      </c>
      <c r="Q679" s="19" t="n">
        <v>5.1</v>
      </c>
      <c r="R679" s="0" t="str">
        <f aca="false">TEXT(K679,"mmm yyyy")</f>
        <v>Mar 2019</v>
      </c>
      <c r="S679" s="14" t="n">
        <f aca="false">HOUR(TIMEVALUE(L679))</f>
        <v>20</v>
      </c>
      <c r="T679" s="0" t="str">
        <f aca="false">IF(S679&lt;12,"Morning",IF(S679&lt;17,"Afternoon","Evening"))</f>
        <v>Evening</v>
      </c>
      <c r="U679" s="16" t="n">
        <f aca="false">G679*H679*0.05</f>
        <v>12.6615</v>
      </c>
    </row>
    <row r="680" customFormat="false" ht="15" hidden="false" customHeight="false" outlineLevel="0" collapsed="false">
      <c r="A680" s="0" t="s">
        <v>1148</v>
      </c>
      <c r="B680" s="0" t="s">
        <v>33</v>
      </c>
      <c r="C680" s="0" t="s">
        <v>65</v>
      </c>
      <c r="D680" s="0" t="s">
        <v>21</v>
      </c>
      <c r="E680" s="0" t="s">
        <v>57</v>
      </c>
      <c r="F680" s="0" t="s">
        <v>23</v>
      </c>
      <c r="G680" s="16" t="n">
        <v>67.55</v>
      </c>
      <c r="H680" s="0" t="n">
        <v>6</v>
      </c>
      <c r="I680" s="16" t="n">
        <f aca="false">G680*H680*0.05</f>
        <v>20.265</v>
      </c>
      <c r="J680" s="16" t="n">
        <f aca="false">G680*H680*1.05</f>
        <v>425.565</v>
      </c>
      <c r="K680" s="17" t="n">
        <v>43525</v>
      </c>
      <c r="L680" s="14" t="s">
        <v>1043</v>
      </c>
      <c r="M680" s="14" t="s">
        <v>30</v>
      </c>
      <c r="N680" s="16" t="n">
        <f aca="false">G680*H680</f>
        <v>405.3</v>
      </c>
      <c r="O680" s="18" t="n">
        <v>4.761904762</v>
      </c>
      <c r="P680" s="16" t="n">
        <f aca="false">I680</f>
        <v>20.265</v>
      </c>
      <c r="Q680" s="19" t="n">
        <v>4.6</v>
      </c>
      <c r="R680" s="0" t="str">
        <f aca="false">TEXT(K680,"mmm yyyy")</f>
        <v>Mar 2019</v>
      </c>
      <c r="S680" s="14" t="n">
        <f aca="false">HOUR(TIMEVALUE(L680))</f>
        <v>19</v>
      </c>
      <c r="T680" s="0" t="str">
        <f aca="false">IF(S680&lt;12,"Morning",IF(S680&lt;17,"Afternoon","Evening"))</f>
        <v>Evening</v>
      </c>
      <c r="U680" s="16" t="n">
        <f aca="false">G680*H680*0.05</f>
        <v>20.265</v>
      </c>
    </row>
    <row r="681" customFormat="false" ht="15" hidden="false" customHeight="false" outlineLevel="0" collapsed="false">
      <c r="A681" s="0" t="s">
        <v>1149</v>
      </c>
      <c r="B681" s="0" t="s">
        <v>25</v>
      </c>
      <c r="C681" s="0" t="s">
        <v>68</v>
      </c>
      <c r="D681" s="0" t="s">
        <v>22</v>
      </c>
      <c r="E681" s="0" t="s">
        <v>60</v>
      </c>
      <c r="F681" s="0" t="s">
        <v>35</v>
      </c>
      <c r="G681" s="16" t="n">
        <v>15.16</v>
      </c>
      <c r="H681" s="0" t="n">
        <v>1</v>
      </c>
      <c r="I681" s="16" t="n">
        <f aca="false">G681*H681*0.05</f>
        <v>0.758</v>
      </c>
      <c r="J681" s="16" t="n">
        <f aca="false">G681*H681*1.05</f>
        <v>15.918</v>
      </c>
      <c r="K681" s="17" t="n">
        <v>43525</v>
      </c>
      <c r="L681" s="14" t="s">
        <v>537</v>
      </c>
      <c r="M681" s="14" t="s">
        <v>34</v>
      </c>
      <c r="N681" s="16" t="n">
        <f aca="false">G681*H681</f>
        <v>15.16</v>
      </c>
      <c r="O681" s="18" t="n">
        <v>4.761904762</v>
      </c>
      <c r="P681" s="16" t="n">
        <f aca="false">I681</f>
        <v>0.758</v>
      </c>
      <c r="Q681" s="19" t="n">
        <v>5.7</v>
      </c>
      <c r="R681" s="0" t="str">
        <f aca="false">TEXT(K681,"mmm yyyy")</f>
        <v>Mar 2019</v>
      </c>
      <c r="S681" s="14" t="n">
        <f aca="false">HOUR(TIMEVALUE(L681))</f>
        <v>18</v>
      </c>
      <c r="T681" s="0" t="str">
        <f aca="false">IF(S681&lt;12,"Morning",IF(S681&lt;17,"Afternoon","Evening"))</f>
        <v>Evening</v>
      </c>
      <c r="U681" s="16" t="n">
        <f aca="false">G681*H681*0.05</f>
        <v>0.758</v>
      </c>
    </row>
    <row r="682" customFormat="false" ht="15" hidden="false" customHeight="false" outlineLevel="0" collapsed="false">
      <c r="A682" s="0" t="s">
        <v>1150</v>
      </c>
      <c r="B682" s="0" t="s">
        <v>25</v>
      </c>
      <c r="C682" s="0" t="s">
        <v>68</v>
      </c>
      <c r="D682" s="0" t="s">
        <v>21</v>
      </c>
      <c r="E682" s="0" t="s">
        <v>60</v>
      </c>
      <c r="F682" s="0" t="s">
        <v>36</v>
      </c>
      <c r="G682" s="16" t="n">
        <v>26.54</v>
      </c>
      <c r="H682" s="0" t="n">
        <v>8</v>
      </c>
      <c r="I682" s="16" t="n">
        <f aca="false">G682*H682*0.05</f>
        <v>10.616</v>
      </c>
      <c r="J682" s="16" t="n">
        <f aca="false">G682*H682*1.05</f>
        <v>222.936</v>
      </c>
      <c r="K682" s="17" t="n">
        <v>43525</v>
      </c>
      <c r="L682" s="14" t="s">
        <v>83</v>
      </c>
      <c r="M682" s="14" t="s">
        <v>34</v>
      </c>
      <c r="N682" s="16" t="n">
        <f aca="false">G682*H682</f>
        <v>212.32</v>
      </c>
      <c r="O682" s="18" t="n">
        <v>4.761904762</v>
      </c>
      <c r="P682" s="16" t="n">
        <f aca="false">I682</f>
        <v>10.616</v>
      </c>
      <c r="Q682" s="19" t="n">
        <v>6.1</v>
      </c>
      <c r="R682" s="0" t="str">
        <f aca="false">TEXT(K682,"mmm yyyy")</f>
        <v>Mar 2019</v>
      </c>
      <c r="S682" s="14" t="n">
        <f aca="false">HOUR(TIMEVALUE(L682))</f>
        <v>20</v>
      </c>
      <c r="T682" s="0" t="str">
        <f aca="false">IF(S682&lt;12,"Morning",IF(S682&lt;17,"Afternoon","Evening"))</f>
        <v>Evening</v>
      </c>
      <c r="U682" s="16" t="n">
        <f aca="false">G682*H682*0.05</f>
        <v>10.616</v>
      </c>
    </row>
    <row r="683" customFormat="false" ht="15" hidden="false" customHeight="false" outlineLevel="0" collapsed="false">
      <c r="A683" s="0" t="s">
        <v>1151</v>
      </c>
      <c r="B683" s="0" t="s">
        <v>33</v>
      </c>
      <c r="C683" s="0" t="s">
        <v>65</v>
      </c>
      <c r="D683" s="0" t="s">
        <v>22</v>
      </c>
      <c r="E683" s="0" t="s">
        <v>57</v>
      </c>
      <c r="F683" s="0" t="s">
        <v>27</v>
      </c>
      <c r="G683" s="16" t="n">
        <v>76.67</v>
      </c>
      <c r="H683" s="0" t="n">
        <v>7</v>
      </c>
      <c r="I683" s="16" t="n">
        <f aca="false">G683*H683*0.05</f>
        <v>26.8345</v>
      </c>
      <c r="J683" s="16" t="n">
        <f aca="false">G683*H683*1.05</f>
        <v>563.5245</v>
      </c>
      <c r="K683" s="17" t="n">
        <v>43526</v>
      </c>
      <c r="L683" s="14" t="s">
        <v>783</v>
      </c>
      <c r="M683" s="14" t="s">
        <v>34</v>
      </c>
      <c r="N683" s="16" t="n">
        <f aca="false">G683*H683</f>
        <v>536.69</v>
      </c>
      <c r="O683" s="18" t="n">
        <v>4.761904762</v>
      </c>
      <c r="P683" s="16" t="n">
        <f aca="false">I683</f>
        <v>26.8345</v>
      </c>
      <c r="Q683" s="19" t="n">
        <v>4.7</v>
      </c>
      <c r="R683" s="0" t="str">
        <f aca="false">TEXT(K683,"mmm yyyy")</f>
        <v>Mar 2019</v>
      </c>
      <c r="S683" s="14" t="n">
        <f aca="false">HOUR(TIMEVALUE(L683))</f>
        <v>18</v>
      </c>
      <c r="T683" s="0" t="str">
        <f aca="false">IF(S683&lt;12,"Morning",IF(S683&lt;17,"Afternoon","Evening"))</f>
        <v>Evening</v>
      </c>
      <c r="U683" s="16" t="n">
        <f aca="false">G683*H683*0.05</f>
        <v>26.8345</v>
      </c>
    </row>
    <row r="684" customFormat="false" ht="15" hidden="false" customHeight="false" outlineLevel="0" collapsed="false">
      <c r="A684" s="0" t="s">
        <v>1152</v>
      </c>
      <c r="B684" s="0" t="s">
        <v>25</v>
      </c>
      <c r="C684" s="0" t="s">
        <v>68</v>
      </c>
      <c r="D684" s="0" t="s">
        <v>22</v>
      </c>
      <c r="E684" s="0" t="s">
        <v>60</v>
      </c>
      <c r="F684" s="0" t="s">
        <v>37</v>
      </c>
      <c r="G684" s="16" t="n">
        <v>82.36</v>
      </c>
      <c r="H684" s="0" t="n">
        <v>10</v>
      </c>
      <c r="I684" s="16" t="n">
        <f aca="false">G684*H684*0.05</f>
        <v>41.18</v>
      </c>
      <c r="J684" s="16" t="n">
        <f aca="false">G684*H684*1.05</f>
        <v>864.78</v>
      </c>
      <c r="K684" s="17" t="n">
        <v>43526</v>
      </c>
      <c r="L684" s="14" t="s">
        <v>1153</v>
      </c>
      <c r="M684" s="14" t="s">
        <v>26</v>
      </c>
      <c r="N684" s="16" t="n">
        <f aca="false">G684*H684</f>
        <v>823.6</v>
      </c>
      <c r="O684" s="18" t="n">
        <v>4.761904762</v>
      </c>
      <c r="P684" s="16" t="n">
        <f aca="false">I684</f>
        <v>41.18</v>
      </c>
      <c r="Q684" s="19" t="n">
        <v>4.5</v>
      </c>
      <c r="R684" s="0" t="str">
        <f aca="false">TEXT(K684,"mmm yyyy")</f>
        <v>Mar 2019</v>
      </c>
      <c r="S684" s="14" t="n">
        <f aca="false">HOUR(TIMEVALUE(L684))</f>
        <v>13</v>
      </c>
      <c r="T684" s="0" t="str">
        <f aca="false">IF(S684&lt;12,"Morning",IF(S684&lt;17,"Afternoon","Evening"))</f>
        <v>Afternoon</v>
      </c>
      <c r="U684" s="16" t="n">
        <f aca="false">G684*H684*0.05</f>
        <v>41.18</v>
      </c>
    </row>
    <row r="685" customFormat="false" ht="15" hidden="false" customHeight="false" outlineLevel="0" collapsed="false">
      <c r="A685" s="0" t="s">
        <v>1154</v>
      </c>
      <c r="B685" s="0" t="s">
        <v>33</v>
      </c>
      <c r="C685" s="0" t="s">
        <v>65</v>
      </c>
      <c r="D685" s="0" t="s">
        <v>21</v>
      </c>
      <c r="E685" s="0" t="s">
        <v>60</v>
      </c>
      <c r="F685" s="0" t="s">
        <v>23</v>
      </c>
      <c r="G685" s="16" t="n">
        <v>72.35</v>
      </c>
      <c r="H685" s="0" t="n">
        <v>2</v>
      </c>
      <c r="I685" s="16" t="n">
        <f aca="false">G685*H685*0.05</f>
        <v>7.235</v>
      </c>
      <c r="J685" s="16" t="n">
        <f aca="false">G685*H685*1.05</f>
        <v>151.935</v>
      </c>
      <c r="K685" s="17" t="n">
        <v>43526</v>
      </c>
      <c r="L685" s="14" t="s">
        <v>1139</v>
      </c>
      <c r="M685" s="14" t="s">
        <v>30</v>
      </c>
      <c r="N685" s="16" t="n">
        <f aca="false">G685*H685</f>
        <v>144.7</v>
      </c>
      <c r="O685" s="18" t="n">
        <v>4.761904762</v>
      </c>
      <c r="P685" s="16" t="n">
        <f aca="false">I685</f>
        <v>7.235</v>
      </c>
      <c r="Q685" s="19" t="n">
        <v>4.2</v>
      </c>
      <c r="R685" s="0" t="str">
        <f aca="false">TEXT(K685,"mmm yyyy")</f>
        <v>Mar 2019</v>
      </c>
      <c r="S685" s="14" t="n">
        <f aca="false">HOUR(TIMEVALUE(L685))</f>
        <v>16</v>
      </c>
      <c r="T685" s="0" t="str">
        <f aca="false">IF(S685&lt;12,"Morning",IF(S685&lt;17,"Afternoon","Evening"))</f>
        <v>Afternoon</v>
      </c>
      <c r="U685" s="16" t="n">
        <f aca="false">G685*H685*0.05</f>
        <v>7.235</v>
      </c>
    </row>
    <row r="686" customFormat="false" ht="15" hidden="false" customHeight="false" outlineLevel="0" collapsed="false">
      <c r="A686" s="0" t="s">
        <v>1155</v>
      </c>
      <c r="B686" s="0" t="s">
        <v>25</v>
      </c>
      <c r="C686" s="0" t="s">
        <v>68</v>
      </c>
      <c r="D686" s="0" t="s">
        <v>21</v>
      </c>
      <c r="E686" s="0" t="s">
        <v>57</v>
      </c>
      <c r="F686" s="0" t="s">
        <v>31</v>
      </c>
      <c r="G686" s="16" t="n">
        <v>80.82</v>
      </c>
      <c r="H686" s="0" t="n">
        <v>9</v>
      </c>
      <c r="I686" s="16" t="n">
        <f aca="false">G686*H686*0.05</f>
        <v>36.369</v>
      </c>
      <c r="J686" s="16" t="n">
        <f aca="false">G686*H686*1.05</f>
        <v>763.749</v>
      </c>
      <c r="K686" s="17" t="n">
        <v>43526</v>
      </c>
      <c r="L686" s="14" t="s">
        <v>749</v>
      </c>
      <c r="M686" s="14" t="s">
        <v>34</v>
      </c>
      <c r="N686" s="16" t="n">
        <f aca="false">G686*H686</f>
        <v>727.38</v>
      </c>
      <c r="O686" s="18" t="n">
        <v>4.761904762</v>
      </c>
      <c r="P686" s="16" t="n">
        <f aca="false">I686</f>
        <v>36.369</v>
      </c>
      <c r="Q686" s="19" t="n">
        <v>9.2</v>
      </c>
      <c r="R686" s="0" t="str">
        <f aca="false">TEXT(K686,"mmm yyyy")</f>
        <v>Mar 2019</v>
      </c>
      <c r="S686" s="14" t="n">
        <f aca="false">HOUR(TIMEVALUE(L686))</f>
        <v>19</v>
      </c>
      <c r="T686" s="0" t="str">
        <f aca="false">IF(S686&lt;12,"Morning",IF(S686&lt;17,"Afternoon","Evening"))</f>
        <v>Evening</v>
      </c>
      <c r="U686" s="16" t="n">
        <f aca="false">G686*H686*0.05</f>
        <v>36.369</v>
      </c>
    </row>
    <row r="687" customFormat="false" ht="15" hidden="false" customHeight="false" outlineLevel="0" collapsed="false">
      <c r="A687" s="0" t="s">
        <v>1156</v>
      </c>
      <c r="B687" s="0" t="s">
        <v>29</v>
      </c>
      <c r="C687" s="0" t="s">
        <v>56</v>
      </c>
      <c r="D687" s="0" t="s">
        <v>22</v>
      </c>
      <c r="E687" s="0" t="s">
        <v>60</v>
      </c>
      <c r="F687" s="0" t="s">
        <v>31</v>
      </c>
      <c r="G687" s="16" t="n">
        <v>65.59</v>
      </c>
      <c r="H687" s="0" t="n">
        <v>5</v>
      </c>
      <c r="I687" s="16" t="n">
        <f aca="false">G687*H687*0.05</f>
        <v>16.3975</v>
      </c>
      <c r="J687" s="16" t="n">
        <f aca="false">G687*H687*1.05</f>
        <v>344.3475</v>
      </c>
      <c r="K687" s="17" t="n">
        <v>43526</v>
      </c>
      <c r="L687" s="14" t="s">
        <v>759</v>
      </c>
      <c r="M687" s="14" t="s">
        <v>30</v>
      </c>
      <c r="N687" s="16" t="n">
        <f aca="false">G687*H687</f>
        <v>327.95</v>
      </c>
      <c r="O687" s="18" t="n">
        <v>4.761904762</v>
      </c>
      <c r="P687" s="16" t="n">
        <f aca="false">I687</f>
        <v>16.3975</v>
      </c>
      <c r="Q687" s="19" t="n">
        <v>7.8</v>
      </c>
      <c r="R687" s="0" t="str">
        <f aca="false">TEXT(K687,"mmm yyyy")</f>
        <v>Mar 2019</v>
      </c>
      <c r="S687" s="14" t="n">
        <f aca="false">HOUR(TIMEVALUE(L687))</f>
        <v>16</v>
      </c>
      <c r="T687" s="0" t="str">
        <f aca="false">IF(S687&lt;12,"Morning",IF(S687&lt;17,"Afternoon","Evening"))</f>
        <v>Afternoon</v>
      </c>
      <c r="U687" s="16" t="n">
        <f aca="false">G687*H687*0.05</f>
        <v>16.3975</v>
      </c>
    </row>
    <row r="688" customFormat="false" ht="15" hidden="false" customHeight="false" outlineLevel="0" collapsed="false">
      <c r="A688" s="0" t="s">
        <v>1157</v>
      </c>
      <c r="B688" s="0" t="s">
        <v>33</v>
      </c>
      <c r="C688" s="0" t="s">
        <v>65</v>
      </c>
      <c r="D688" s="0" t="s">
        <v>21</v>
      </c>
      <c r="E688" s="0" t="s">
        <v>60</v>
      </c>
      <c r="F688" s="0" t="s">
        <v>31</v>
      </c>
      <c r="G688" s="16" t="n">
        <v>77.81</v>
      </c>
      <c r="H688" s="0" t="n">
        <v>6</v>
      </c>
      <c r="I688" s="16" t="n">
        <f aca="false">G688*H688*0.05</f>
        <v>23.343</v>
      </c>
      <c r="J688" s="16" t="n">
        <f aca="false">G688*H688*1.05</f>
        <v>490.203</v>
      </c>
      <c r="K688" s="17" t="n">
        <v>43526</v>
      </c>
      <c r="L688" s="14" t="s">
        <v>423</v>
      </c>
      <c r="M688" s="14" t="s">
        <v>34</v>
      </c>
      <c r="N688" s="16" t="n">
        <f aca="false">G688*H688</f>
        <v>466.86</v>
      </c>
      <c r="O688" s="18" t="n">
        <v>4.761904762</v>
      </c>
      <c r="P688" s="16" t="n">
        <f aca="false">I688</f>
        <v>23.343</v>
      </c>
      <c r="Q688" s="19" t="n">
        <v>9</v>
      </c>
      <c r="R688" s="0" t="str">
        <f aca="false">TEXT(K688,"mmm yyyy")</f>
        <v>Mar 2019</v>
      </c>
      <c r="S688" s="14" t="n">
        <f aca="false">HOUR(TIMEVALUE(L688))</f>
        <v>19</v>
      </c>
      <c r="T688" s="0" t="str">
        <f aca="false">IF(S688&lt;12,"Morning",IF(S688&lt;17,"Afternoon","Evening"))</f>
        <v>Evening</v>
      </c>
      <c r="U688" s="16" t="n">
        <f aca="false">G688*H688*0.05</f>
        <v>23.343</v>
      </c>
    </row>
    <row r="689" customFormat="false" ht="15" hidden="false" customHeight="false" outlineLevel="0" collapsed="false">
      <c r="A689" s="0" t="s">
        <v>1158</v>
      </c>
      <c r="B689" s="0" t="s">
        <v>25</v>
      </c>
      <c r="C689" s="0" t="s">
        <v>68</v>
      </c>
      <c r="D689" s="0" t="s">
        <v>21</v>
      </c>
      <c r="E689" s="0" t="s">
        <v>60</v>
      </c>
      <c r="F689" s="0" t="s">
        <v>35</v>
      </c>
      <c r="G689" s="16" t="n">
        <v>30.93</v>
      </c>
      <c r="H689" s="0" t="n">
        <v>6</v>
      </c>
      <c r="I689" s="16" t="n">
        <f aca="false">G689*H689*0.05</f>
        <v>9.279</v>
      </c>
      <c r="J689" s="16" t="n">
        <f aca="false">G689*H689*1.05</f>
        <v>194.859</v>
      </c>
      <c r="K689" s="17" t="n">
        <v>43526</v>
      </c>
      <c r="L689" s="14" t="s">
        <v>184</v>
      </c>
      <c r="M689" s="14" t="s">
        <v>30</v>
      </c>
      <c r="N689" s="16" t="n">
        <f aca="false">G689*H689</f>
        <v>185.58</v>
      </c>
      <c r="O689" s="18" t="n">
        <v>4.761904762</v>
      </c>
      <c r="P689" s="16" t="n">
        <f aca="false">I689</f>
        <v>9.279</v>
      </c>
      <c r="Q689" s="19" t="n">
        <v>4.8</v>
      </c>
      <c r="R689" s="0" t="str">
        <f aca="false">TEXT(K689,"mmm yyyy")</f>
        <v>Mar 2019</v>
      </c>
      <c r="S689" s="14" t="n">
        <f aca="false">HOUR(TIMEVALUE(L689))</f>
        <v>19</v>
      </c>
      <c r="T689" s="0" t="str">
        <f aca="false">IF(S689&lt;12,"Morning",IF(S689&lt;17,"Afternoon","Evening"))</f>
        <v>Evening</v>
      </c>
      <c r="U689" s="16" t="n">
        <f aca="false">G689*H689*0.05</f>
        <v>9.279</v>
      </c>
    </row>
    <row r="690" customFormat="false" ht="15" hidden="false" customHeight="false" outlineLevel="0" collapsed="false">
      <c r="A690" s="0" t="s">
        <v>1159</v>
      </c>
      <c r="B690" s="0" t="s">
        <v>33</v>
      </c>
      <c r="C690" s="0" t="s">
        <v>65</v>
      </c>
      <c r="D690" s="0" t="s">
        <v>21</v>
      </c>
      <c r="E690" s="0" t="s">
        <v>57</v>
      </c>
      <c r="F690" s="0" t="s">
        <v>23</v>
      </c>
      <c r="G690" s="16" t="n">
        <v>45.69</v>
      </c>
      <c r="H690" s="0" t="n">
        <v>8</v>
      </c>
      <c r="I690" s="16" t="n">
        <f aca="false">G690*H690*0.05</f>
        <v>18.276</v>
      </c>
      <c r="J690" s="16" t="n">
        <f aca="false">G690*H690*1.05</f>
        <v>383.796</v>
      </c>
      <c r="K690" s="17" t="n">
        <v>43526</v>
      </c>
      <c r="L690" s="14" t="s">
        <v>1160</v>
      </c>
      <c r="M690" s="14" t="s">
        <v>30</v>
      </c>
      <c r="N690" s="16" t="n">
        <f aca="false">G690*H690</f>
        <v>365.52</v>
      </c>
      <c r="O690" s="18" t="n">
        <v>4.761904762</v>
      </c>
      <c r="P690" s="16" t="n">
        <f aca="false">I690</f>
        <v>18.276</v>
      </c>
      <c r="Q690" s="19" t="n">
        <v>7.4</v>
      </c>
      <c r="R690" s="0" t="str">
        <f aca="false">TEXT(K690,"mmm yyyy")</f>
        <v>Mar 2019</v>
      </c>
      <c r="S690" s="14" t="n">
        <f aca="false">HOUR(TIMEVALUE(L690))</f>
        <v>15</v>
      </c>
      <c r="T690" s="0" t="str">
        <f aca="false">IF(S690&lt;12,"Morning",IF(S690&lt;17,"Afternoon","Evening"))</f>
        <v>Afternoon</v>
      </c>
      <c r="U690" s="16" t="n">
        <f aca="false">G690*H690*0.05</f>
        <v>18.276</v>
      </c>
    </row>
    <row r="691" customFormat="false" ht="15" hidden="false" customHeight="false" outlineLevel="0" collapsed="false">
      <c r="A691" s="0" t="s">
        <v>1161</v>
      </c>
      <c r="B691" s="0" t="s">
        <v>25</v>
      </c>
      <c r="C691" s="0" t="s">
        <v>68</v>
      </c>
      <c r="D691" s="0" t="s">
        <v>22</v>
      </c>
      <c r="E691" s="0" t="s">
        <v>60</v>
      </c>
      <c r="F691" s="0" t="s">
        <v>23</v>
      </c>
      <c r="G691" s="16" t="n">
        <v>85.66</v>
      </c>
      <c r="H691" s="0" t="n">
        <v>1</v>
      </c>
      <c r="I691" s="16" t="n">
        <f aca="false">G691*H691*0.05</f>
        <v>4.283</v>
      </c>
      <c r="J691" s="16" t="n">
        <f aca="false">G691*H691*1.05</f>
        <v>89.943</v>
      </c>
      <c r="K691" s="17" t="n">
        <v>43526</v>
      </c>
      <c r="L691" s="14" t="s">
        <v>281</v>
      </c>
      <c r="M691" s="14" t="s">
        <v>26</v>
      </c>
      <c r="N691" s="16" t="n">
        <f aca="false">G691*H691</f>
        <v>85.66</v>
      </c>
      <c r="O691" s="18" t="n">
        <v>4.761904762</v>
      </c>
      <c r="P691" s="16" t="n">
        <f aca="false">I691</f>
        <v>4.283</v>
      </c>
      <c r="Q691" s="19" t="n">
        <v>8.1</v>
      </c>
      <c r="R691" s="0" t="str">
        <f aca="false">TEXT(K691,"mmm yyyy")</f>
        <v>Mar 2019</v>
      </c>
      <c r="S691" s="14" t="n">
        <f aca="false">HOUR(TIMEVALUE(L691))</f>
        <v>20</v>
      </c>
      <c r="T691" s="0" t="str">
        <f aca="false">IF(S691&lt;12,"Morning",IF(S691&lt;17,"Afternoon","Evening"))</f>
        <v>Evening</v>
      </c>
      <c r="U691" s="16" t="n">
        <f aca="false">G691*H691*0.05</f>
        <v>4.283</v>
      </c>
    </row>
    <row r="692" customFormat="false" ht="15" hidden="false" customHeight="false" outlineLevel="0" collapsed="false">
      <c r="A692" s="0" t="s">
        <v>1162</v>
      </c>
      <c r="B692" s="0" t="s">
        <v>25</v>
      </c>
      <c r="C692" s="0" t="s">
        <v>68</v>
      </c>
      <c r="D692" s="0" t="s">
        <v>21</v>
      </c>
      <c r="E692" s="0" t="s">
        <v>57</v>
      </c>
      <c r="F692" s="0" t="s">
        <v>31</v>
      </c>
      <c r="G692" s="16" t="n">
        <v>93.75</v>
      </c>
      <c r="H692" s="0" t="n">
        <v>3</v>
      </c>
      <c r="I692" s="16" t="n">
        <f aca="false">G692*H692*0.05</f>
        <v>14.0625</v>
      </c>
      <c r="J692" s="16" t="n">
        <f aca="false">G692*H692*1.05</f>
        <v>295.3125</v>
      </c>
      <c r="K692" s="17" t="n">
        <v>43526</v>
      </c>
      <c r="L692" s="14" t="s">
        <v>1121</v>
      </c>
      <c r="M692" s="14" t="s">
        <v>30</v>
      </c>
      <c r="N692" s="16" t="n">
        <f aca="false">G692*H692</f>
        <v>281.25</v>
      </c>
      <c r="O692" s="18" t="n">
        <v>4.761904762</v>
      </c>
      <c r="P692" s="16" t="n">
        <f aca="false">I692</f>
        <v>14.0625</v>
      </c>
      <c r="Q692" s="19" t="n">
        <v>7.4</v>
      </c>
      <c r="R692" s="0" t="str">
        <f aca="false">TEXT(K692,"mmm yyyy")</f>
        <v>Mar 2019</v>
      </c>
      <c r="S692" s="14" t="n">
        <f aca="false">HOUR(TIMEVALUE(L692))</f>
        <v>18</v>
      </c>
      <c r="T692" s="0" t="str">
        <f aca="false">IF(S692&lt;12,"Morning",IF(S692&lt;17,"Afternoon","Evening"))</f>
        <v>Evening</v>
      </c>
      <c r="U692" s="16" t="n">
        <f aca="false">G692*H692*0.05</f>
        <v>14.0625</v>
      </c>
    </row>
    <row r="693" customFormat="false" ht="15" hidden="false" customHeight="false" outlineLevel="0" collapsed="false">
      <c r="A693" s="0" t="s">
        <v>1163</v>
      </c>
      <c r="B693" s="0" t="s">
        <v>29</v>
      </c>
      <c r="C693" s="0" t="s">
        <v>56</v>
      </c>
      <c r="D693" s="0" t="s">
        <v>22</v>
      </c>
      <c r="E693" s="0" t="s">
        <v>57</v>
      </c>
      <c r="F693" s="0" t="s">
        <v>27</v>
      </c>
      <c r="G693" s="16" t="n">
        <v>19.16</v>
      </c>
      <c r="H693" s="0" t="n">
        <v>6</v>
      </c>
      <c r="I693" s="16" t="n">
        <f aca="false">G693*H693*0.05</f>
        <v>5.748</v>
      </c>
      <c r="J693" s="16" t="n">
        <f aca="false">G693*H693*1.05</f>
        <v>120.708</v>
      </c>
      <c r="K693" s="17" t="n">
        <v>43526</v>
      </c>
      <c r="L693" s="14" t="s">
        <v>1164</v>
      </c>
      <c r="M693" s="14" t="s">
        <v>34</v>
      </c>
      <c r="N693" s="16" t="n">
        <f aca="false">G693*H693</f>
        <v>114.96</v>
      </c>
      <c r="O693" s="18" t="n">
        <v>4.761904762</v>
      </c>
      <c r="P693" s="16" t="n">
        <f aca="false">I693</f>
        <v>5.748</v>
      </c>
      <c r="Q693" s="19" t="n">
        <v>5.1</v>
      </c>
      <c r="R693" s="0" t="str">
        <f aca="false">TEXT(K693,"mmm yyyy")</f>
        <v>Mar 2019</v>
      </c>
      <c r="S693" s="14" t="n">
        <f aca="false">HOUR(TIMEVALUE(L693))</f>
        <v>14</v>
      </c>
      <c r="T693" s="0" t="str">
        <f aca="false">IF(S693&lt;12,"Morning",IF(S693&lt;17,"Afternoon","Evening"))</f>
        <v>Afternoon</v>
      </c>
      <c r="U693" s="16" t="n">
        <f aca="false">G693*H693*0.05</f>
        <v>5.748</v>
      </c>
    </row>
    <row r="694" customFormat="false" ht="15" hidden="false" customHeight="false" outlineLevel="0" collapsed="false">
      <c r="A694" s="0" t="s">
        <v>1165</v>
      </c>
      <c r="B694" s="0" t="s">
        <v>29</v>
      </c>
      <c r="C694" s="0" t="s">
        <v>56</v>
      </c>
      <c r="D694" s="0" t="s">
        <v>22</v>
      </c>
      <c r="E694" s="0" t="s">
        <v>60</v>
      </c>
      <c r="F694" s="0" t="s">
        <v>31</v>
      </c>
      <c r="G694" s="16" t="n">
        <v>50.88</v>
      </c>
      <c r="H694" s="0" t="n">
        <v>2</v>
      </c>
      <c r="I694" s="16" t="n">
        <f aca="false">G694*H694*0.05</f>
        <v>5.088</v>
      </c>
      <c r="J694" s="16" t="n">
        <f aca="false">G694*H694*1.05</f>
        <v>106.848</v>
      </c>
      <c r="K694" s="17" t="n">
        <v>43526</v>
      </c>
      <c r="L694" s="14" t="s">
        <v>731</v>
      </c>
      <c r="M694" s="14" t="s">
        <v>34</v>
      </c>
      <c r="N694" s="16" t="n">
        <f aca="false">G694*H694</f>
        <v>101.76</v>
      </c>
      <c r="O694" s="18" t="n">
        <v>4.761904762</v>
      </c>
      <c r="P694" s="16" t="n">
        <f aca="false">I694</f>
        <v>5.088</v>
      </c>
      <c r="Q694" s="19" t="n">
        <v>6.6</v>
      </c>
      <c r="R694" s="0" t="str">
        <f aca="false">TEXT(K694,"mmm yyyy")</f>
        <v>Mar 2019</v>
      </c>
      <c r="S694" s="14" t="n">
        <f aca="false">HOUR(TIMEVALUE(L694))</f>
        <v>11</v>
      </c>
      <c r="T694" s="0" t="str">
        <f aca="false">IF(S694&lt;12,"Morning",IF(S694&lt;17,"Afternoon","Evening"))</f>
        <v>Morning</v>
      </c>
      <c r="U694" s="16" t="n">
        <f aca="false">G694*H694*0.05</f>
        <v>5.088</v>
      </c>
    </row>
    <row r="695" customFormat="false" ht="15" hidden="false" customHeight="false" outlineLevel="0" collapsed="false">
      <c r="A695" s="0" t="s">
        <v>1166</v>
      </c>
      <c r="B695" s="0" t="s">
        <v>33</v>
      </c>
      <c r="C695" s="0" t="s">
        <v>65</v>
      </c>
      <c r="D695" s="0" t="s">
        <v>22</v>
      </c>
      <c r="E695" s="0" t="s">
        <v>60</v>
      </c>
      <c r="F695" s="0" t="s">
        <v>27</v>
      </c>
      <c r="G695" s="16" t="n">
        <v>40.09</v>
      </c>
      <c r="H695" s="0" t="n">
        <v>5</v>
      </c>
      <c r="I695" s="16" t="n">
        <f aca="false">G695*H695*0.05</f>
        <v>10.0225</v>
      </c>
      <c r="J695" s="16" t="n">
        <f aca="false">G695*H695*1.05</f>
        <v>210.4725</v>
      </c>
      <c r="K695" s="17" t="n">
        <v>43526</v>
      </c>
      <c r="L695" s="14" t="s">
        <v>619</v>
      </c>
      <c r="M695" s="14" t="s">
        <v>34</v>
      </c>
      <c r="N695" s="16" t="n">
        <f aca="false">G695*H695</f>
        <v>200.45</v>
      </c>
      <c r="O695" s="18" t="n">
        <v>4.761904762</v>
      </c>
      <c r="P695" s="16" t="n">
        <f aca="false">I695</f>
        <v>10.0225</v>
      </c>
      <c r="Q695" s="19" t="n">
        <v>6.9</v>
      </c>
      <c r="R695" s="0" t="str">
        <f aca="false">TEXT(K695,"mmm yyyy")</f>
        <v>Mar 2019</v>
      </c>
      <c r="S695" s="14" t="n">
        <f aca="false">HOUR(TIMEVALUE(L695))</f>
        <v>15</v>
      </c>
      <c r="T695" s="0" t="str">
        <f aca="false">IF(S695&lt;12,"Morning",IF(S695&lt;17,"Afternoon","Evening"))</f>
        <v>Afternoon</v>
      </c>
      <c r="U695" s="16" t="n">
        <f aca="false">G695*H695*0.05</f>
        <v>10.0225</v>
      </c>
    </row>
    <row r="696" customFormat="false" ht="15" hidden="false" customHeight="false" outlineLevel="0" collapsed="false">
      <c r="A696" s="0" t="s">
        <v>1167</v>
      </c>
      <c r="B696" s="0" t="s">
        <v>29</v>
      </c>
      <c r="C696" s="0" t="s">
        <v>56</v>
      </c>
      <c r="D696" s="0" t="s">
        <v>21</v>
      </c>
      <c r="E696" s="0" t="s">
        <v>60</v>
      </c>
      <c r="F696" s="0" t="s">
        <v>36</v>
      </c>
      <c r="G696" s="16" t="n">
        <v>39.59</v>
      </c>
      <c r="H696" s="0" t="n">
        <v>6</v>
      </c>
      <c r="I696" s="16" t="n">
        <f aca="false">G696*H696*0.05</f>
        <v>11.877</v>
      </c>
      <c r="J696" s="16" t="n">
        <f aca="false">G696*H696*1.05</f>
        <v>249.417</v>
      </c>
      <c r="K696" s="17" t="n">
        <v>43526</v>
      </c>
      <c r="L696" s="14" t="s">
        <v>1168</v>
      </c>
      <c r="M696" s="14" t="s">
        <v>30</v>
      </c>
      <c r="N696" s="16" t="n">
        <f aca="false">G696*H696</f>
        <v>237.54</v>
      </c>
      <c r="O696" s="18" t="n">
        <v>4.761904762</v>
      </c>
      <c r="P696" s="16" t="n">
        <f aca="false">I696</f>
        <v>11.877</v>
      </c>
      <c r="Q696" s="19" t="n">
        <v>8.2</v>
      </c>
      <c r="R696" s="0" t="str">
        <f aca="false">TEXT(K696,"mmm yyyy")</f>
        <v>Mar 2019</v>
      </c>
      <c r="S696" s="14" t="n">
        <f aca="false">HOUR(TIMEVALUE(L696))</f>
        <v>10</v>
      </c>
      <c r="T696" s="0" t="str">
        <f aca="false">IF(S696&lt;12,"Morning",IF(S696&lt;17,"Afternoon","Evening"))</f>
        <v>Morning</v>
      </c>
      <c r="U696" s="16" t="n">
        <f aca="false">G696*H696*0.05</f>
        <v>11.877</v>
      </c>
    </row>
    <row r="697" customFormat="false" ht="15" hidden="false" customHeight="false" outlineLevel="0" collapsed="false">
      <c r="A697" s="0" t="s">
        <v>1169</v>
      </c>
      <c r="B697" s="0" t="s">
        <v>33</v>
      </c>
      <c r="C697" s="0" t="s">
        <v>65</v>
      </c>
      <c r="D697" s="0" t="s">
        <v>21</v>
      </c>
      <c r="E697" s="0" t="s">
        <v>57</v>
      </c>
      <c r="F697" s="0" t="s">
        <v>27</v>
      </c>
      <c r="G697" s="16" t="n">
        <v>18.12</v>
      </c>
      <c r="H697" s="0" t="n">
        <v>9</v>
      </c>
      <c r="I697" s="16" t="n">
        <f aca="false">G697*H697*0.05</f>
        <v>8.154</v>
      </c>
      <c r="J697" s="16" t="n">
        <f aca="false">G697*H697*1.05</f>
        <v>171.234</v>
      </c>
      <c r="K697" s="17" t="n">
        <v>43526</v>
      </c>
      <c r="L697" s="14" t="s">
        <v>269</v>
      </c>
      <c r="M697" s="14" t="s">
        <v>26</v>
      </c>
      <c r="N697" s="16" t="n">
        <f aca="false">G697*H697</f>
        <v>163.08</v>
      </c>
      <c r="O697" s="18" t="n">
        <v>4.761904762</v>
      </c>
      <c r="P697" s="16" t="n">
        <f aca="false">I697</f>
        <v>8.154</v>
      </c>
      <c r="Q697" s="19" t="n">
        <v>8.5</v>
      </c>
      <c r="R697" s="0" t="str">
        <f aca="false">TEXT(K697,"mmm yyyy")</f>
        <v>Mar 2019</v>
      </c>
      <c r="S697" s="14" t="n">
        <f aca="false">HOUR(TIMEVALUE(L697))</f>
        <v>18</v>
      </c>
      <c r="T697" s="0" t="str">
        <f aca="false">IF(S697&lt;12,"Morning",IF(S697&lt;17,"Afternoon","Evening"))</f>
        <v>Evening</v>
      </c>
      <c r="U697" s="16" t="n">
        <f aca="false">G697*H697*0.05</f>
        <v>8.154</v>
      </c>
    </row>
    <row r="698" customFormat="false" ht="15" hidden="false" customHeight="false" outlineLevel="0" collapsed="false">
      <c r="A698" s="0" t="s">
        <v>1170</v>
      </c>
      <c r="B698" s="0" t="s">
        <v>33</v>
      </c>
      <c r="C698" s="0" t="s">
        <v>65</v>
      </c>
      <c r="D698" s="0" t="s">
        <v>22</v>
      </c>
      <c r="E698" s="0" t="s">
        <v>60</v>
      </c>
      <c r="F698" s="0" t="s">
        <v>35</v>
      </c>
      <c r="G698" s="16" t="n">
        <v>17.52</v>
      </c>
      <c r="H698" s="0" t="n">
        <v>7</v>
      </c>
      <c r="I698" s="16" t="n">
        <f aca="false">G698*H698*0.05</f>
        <v>6.132</v>
      </c>
      <c r="J698" s="16" t="n">
        <f aca="false">G698*H698*1.05</f>
        <v>128.772</v>
      </c>
      <c r="K698" s="17" t="n">
        <v>43526</v>
      </c>
      <c r="L698" s="14" t="s">
        <v>1171</v>
      </c>
      <c r="M698" s="14" t="s">
        <v>34</v>
      </c>
      <c r="N698" s="16" t="n">
        <f aca="false">G698*H698</f>
        <v>122.64</v>
      </c>
      <c r="O698" s="18" t="n">
        <v>4.761904762</v>
      </c>
      <c r="P698" s="16" t="n">
        <f aca="false">I698</f>
        <v>6.132</v>
      </c>
      <c r="Q698" s="19" t="n">
        <v>5.5</v>
      </c>
      <c r="R698" s="0" t="str">
        <f aca="false">TEXT(K698,"mmm yyyy")</f>
        <v>Mar 2019</v>
      </c>
      <c r="S698" s="14" t="n">
        <f aca="false">HOUR(TIMEVALUE(L698))</f>
        <v>17</v>
      </c>
      <c r="T698" s="0" t="str">
        <f aca="false">IF(S698&lt;12,"Morning",IF(S698&lt;17,"Afternoon","Evening"))</f>
        <v>Evening</v>
      </c>
      <c r="U698" s="16" t="n">
        <f aca="false">G698*H698*0.05</f>
        <v>6.132</v>
      </c>
    </row>
    <row r="699" customFormat="false" ht="15" hidden="false" customHeight="false" outlineLevel="0" collapsed="false">
      <c r="A699" s="0" t="s">
        <v>1172</v>
      </c>
      <c r="B699" s="0" t="s">
        <v>33</v>
      </c>
      <c r="C699" s="0" t="s">
        <v>65</v>
      </c>
      <c r="D699" s="0" t="s">
        <v>22</v>
      </c>
      <c r="E699" s="0" t="s">
        <v>60</v>
      </c>
      <c r="F699" s="0" t="s">
        <v>36</v>
      </c>
      <c r="G699" s="16" t="n">
        <v>72.16</v>
      </c>
      <c r="H699" s="0" t="n">
        <v>5</v>
      </c>
      <c r="I699" s="16" t="n">
        <f aca="false">G699*H699*0.05</f>
        <v>18.04</v>
      </c>
      <c r="J699" s="16" t="n">
        <f aca="false">G699*H699*1.05</f>
        <v>378.84</v>
      </c>
      <c r="K699" s="17" t="n">
        <v>43526</v>
      </c>
      <c r="L699" s="14" t="s">
        <v>863</v>
      </c>
      <c r="M699" s="14" t="s">
        <v>26</v>
      </c>
      <c r="N699" s="16" t="n">
        <f aca="false">G699*H699</f>
        <v>360.8</v>
      </c>
      <c r="O699" s="18" t="n">
        <v>4.761904762</v>
      </c>
      <c r="P699" s="16" t="n">
        <f aca="false">I699</f>
        <v>18.04</v>
      </c>
      <c r="Q699" s="19" t="n">
        <v>8.3</v>
      </c>
      <c r="R699" s="0" t="str">
        <f aca="false">TEXT(K699,"mmm yyyy")</f>
        <v>Mar 2019</v>
      </c>
      <c r="S699" s="14" t="n">
        <f aca="false">HOUR(TIMEVALUE(L699))</f>
        <v>20</v>
      </c>
      <c r="T699" s="0" t="str">
        <f aca="false">IF(S699&lt;12,"Morning",IF(S699&lt;17,"Afternoon","Evening"))</f>
        <v>Evening</v>
      </c>
      <c r="U699" s="16" t="n">
        <f aca="false">G699*H699*0.05</f>
        <v>18.04</v>
      </c>
    </row>
    <row r="700" customFormat="false" ht="15" hidden="false" customHeight="false" outlineLevel="0" collapsed="false">
      <c r="A700" s="0" t="s">
        <v>1173</v>
      </c>
      <c r="B700" s="0" t="s">
        <v>33</v>
      </c>
      <c r="C700" s="0" t="s">
        <v>65</v>
      </c>
      <c r="D700" s="0" t="s">
        <v>22</v>
      </c>
      <c r="E700" s="0" t="s">
        <v>60</v>
      </c>
      <c r="F700" s="0" t="s">
        <v>31</v>
      </c>
      <c r="G700" s="16" t="n">
        <v>81.09</v>
      </c>
      <c r="H700" s="0" t="n">
        <v>5</v>
      </c>
      <c r="I700" s="16" t="n">
        <f aca="false">G700*H700*0.05</f>
        <v>20.2725</v>
      </c>
      <c r="J700" s="16" t="n">
        <f aca="false">G700*H700*1.05</f>
        <v>425.7225</v>
      </c>
      <c r="K700" s="17" t="n">
        <v>43526</v>
      </c>
      <c r="L700" s="14" t="s">
        <v>1174</v>
      </c>
      <c r="M700" s="14" t="s">
        <v>34</v>
      </c>
      <c r="N700" s="16" t="n">
        <f aca="false">G700*H700</f>
        <v>405.45</v>
      </c>
      <c r="O700" s="18" t="n">
        <v>4.761904762</v>
      </c>
      <c r="P700" s="16" t="n">
        <f aca="false">I700</f>
        <v>20.2725</v>
      </c>
      <c r="Q700" s="19" t="n">
        <v>5.6</v>
      </c>
      <c r="R700" s="0" t="str">
        <f aca="false">TEXT(K700,"mmm yyyy")</f>
        <v>Mar 2019</v>
      </c>
      <c r="S700" s="14" t="n">
        <f aca="false">HOUR(TIMEVALUE(L700))</f>
        <v>18</v>
      </c>
      <c r="T700" s="0" t="str">
        <f aca="false">IF(S700&lt;12,"Morning",IF(S700&lt;17,"Afternoon","Evening"))</f>
        <v>Evening</v>
      </c>
      <c r="U700" s="16" t="n">
        <f aca="false">G700*H700*0.05</f>
        <v>20.2725</v>
      </c>
    </row>
    <row r="701" customFormat="false" ht="15" hidden="false" customHeight="false" outlineLevel="0" collapsed="false">
      <c r="A701" s="0" t="s">
        <v>1175</v>
      </c>
      <c r="B701" s="0" t="s">
        <v>29</v>
      </c>
      <c r="C701" s="0" t="s">
        <v>56</v>
      </c>
      <c r="D701" s="0" t="s">
        <v>22</v>
      </c>
      <c r="E701" s="0" t="s">
        <v>60</v>
      </c>
      <c r="F701" s="0" t="s">
        <v>27</v>
      </c>
      <c r="G701" s="16" t="n">
        <v>34.06</v>
      </c>
      <c r="H701" s="0" t="n">
        <v>7</v>
      </c>
      <c r="I701" s="16" t="n">
        <f aca="false">G701*H701*0.05</f>
        <v>11.921</v>
      </c>
      <c r="J701" s="16" t="n">
        <f aca="false">G701*H701*1.05</f>
        <v>250.341</v>
      </c>
      <c r="K701" s="17" t="n">
        <v>43526</v>
      </c>
      <c r="L701" s="14" t="s">
        <v>425</v>
      </c>
      <c r="M701" s="14" t="s">
        <v>30</v>
      </c>
      <c r="N701" s="16" t="n">
        <f aca="false">G701*H701</f>
        <v>238.42</v>
      </c>
      <c r="O701" s="18" t="n">
        <v>4.761904762</v>
      </c>
      <c r="P701" s="16" t="n">
        <f aca="false">I701</f>
        <v>11.921</v>
      </c>
      <c r="Q701" s="19" t="n">
        <v>9.8</v>
      </c>
      <c r="R701" s="0" t="str">
        <f aca="false">TEXT(K701,"mmm yyyy")</f>
        <v>Mar 2019</v>
      </c>
      <c r="S701" s="14" t="n">
        <f aca="false">HOUR(TIMEVALUE(L701))</f>
        <v>17</v>
      </c>
      <c r="T701" s="0" t="str">
        <f aca="false">IF(S701&lt;12,"Morning",IF(S701&lt;17,"Afternoon","Evening"))</f>
        <v>Evening</v>
      </c>
      <c r="U701" s="16" t="n">
        <f aca="false">G701*H701*0.05</f>
        <v>11.921</v>
      </c>
    </row>
    <row r="702" customFormat="false" ht="15" hidden="false" customHeight="false" outlineLevel="0" collapsed="false">
      <c r="A702" s="0" t="s">
        <v>1176</v>
      </c>
      <c r="B702" s="0" t="s">
        <v>25</v>
      </c>
      <c r="C702" s="0" t="s">
        <v>68</v>
      </c>
      <c r="D702" s="0" t="s">
        <v>22</v>
      </c>
      <c r="E702" s="0" t="s">
        <v>57</v>
      </c>
      <c r="F702" s="0" t="s">
        <v>37</v>
      </c>
      <c r="G702" s="16" t="n">
        <v>61.73</v>
      </c>
      <c r="H702" s="0" t="n">
        <v>4</v>
      </c>
      <c r="I702" s="16" t="n">
        <f aca="false">G702*H702*0.05</f>
        <v>12.346</v>
      </c>
      <c r="J702" s="16" t="n">
        <f aca="false">G702*H702*1.05</f>
        <v>259.266</v>
      </c>
      <c r="K702" s="17" t="n">
        <v>43526</v>
      </c>
      <c r="L702" s="14" t="s">
        <v>1177</v>
      </c>
      <c r="M702" s="14" t="s">
        <v>30</v>
      </c>
      <c r="N702" s="16" t="n">
        <f aca="false">G702*H702</f>
        <v>246.92</v>
      </c>
      <c r="O702" s="18" t="n">
        <v>4.761904762</v>
      </c>
      <c r="P702" s="16" t="n">
        <f aca="false">I702</f>
        <v>12.346</v>
      </c>
      <c r="Q702" s="19" t="n">
        <v>6.1</v>
      </c>
      <c r="R702" s="0" t="str">
        <f aca="false">TEXT(K702,"mmm yyyy")</f>
        <v>Mar 2019</v>
      </c>
      <c r="S702" s="14" t="n">
        <f aca="false">HOUR(TIMEVALUE(L702))</f>
        <v>12</v>
      </c>
      <c r="T702" s="0" t="str">
        <f aca="false">IF(S702&lt;12,"Morning",IF(S702&lt;17,"Afternoon","Evening"))</f>
        <v>Afternoon</v>
      </c>
      <c r="U702" s="16" t="n">
        <f aca="false">G702*H702*0.05</f>
        <v>12.346</v>
      </c>
    </row>
    <row r="703" customFormat="false" ht="15" hidden="false" customHeight="false" outlineLevel="0" collapsed="false">
      <c r="A703" s="0" t="s">
        <v>1178</v>
      </c>
      <c r="B703" s="0" t="s">
        <v>29</v>
      </c>
      <c r="C703" s="0" t="s">
        <v>56</v>
      </c>
      <c r="D703" s="0" t="s">
        <v>22</v>
      </c>
      <c r="E703" s="0" t="s">
        <v>60</v>
      </c>
      <c r="F703" s="0" t="s">
        <v>37</v>
      </c>
      <c r="G703" s="16" t="n">
        <v>44.22</v>
      </c>
      <c r="H703" s="0" t="n">
        <v>8</v>
      </c>
      <c r="I703" s="16" t="n">
        <f aca="false">G703*H703*0.05</f>
        <v>17.688</v>
      </c>
      <c r="J703" s="16" t="n">
        <f aca="false">G703*H703*1.05</f>
        <v>371.448</v>
      </c>
      <c r="K703" s="17" t="n">
        <v>43526</v>
      </c>
      <c r="L703" s="14" t="s">
        <v>348</v>
      </c>
      <c r="M703" s="14" t="s">
        <v>26</v>
      </c>
      <c r="N703" s="16" t="n">
        <f aca="false">G703*H703</f>
        <v>353.76</v>
      </c>
      <c r="O703" s="18" t="n">
        <v>4.761904762</v>
      </c>
      <c r="P703" s="16" t="n">
        <f aca="false">I703</f>
        <v>17.688</v>
      </c>
      <c r="Q703" s="19" t="n">
        <v>8.6</v>
      </c>
      <c r="R703" s="0" t="str">
        <f aca="false">TEXT(K703,"mmm yyyy")</f>
        <v>Mar 2019</v>
      </c>
      <c r="S703" s="14" t="n">
        <f aca="false">HOUR(TIMEVALUE(L703))</f>
        <v>15</v>
      </c>
      <c r="T703" s="0" t="str">
        <f aca="false">IF(S703&lt;12,"Morning",IF(S703&lt;17,"Afternoon","Evening"))</f>
        <v>Afternoon</v>
      </c>
      <c r="U703" s="16" t="n">
        <f aca="false">G703*H703*0.05</f>
        <v>17.688</v>
      </c>
    </row>
    <row r="704" customFormat="false" ht="15" hidden="false" customHeight="false" outlineLevel="0" collapsed="false">
      <c r="A704" s="0" t="s">
        <v>1179</v>
      </c>
      <c r="B704" s="0" t="s">
        <v>25</v>
      </c>
      <c r="C704" s="0" t="s">
        <v>68</v>
      </c>
      <c r="D704" s="0" t="s">
        <v>22</v>
      </c>
      <c r="E704" s="0" t="s">
        <v>60</v>
      </c>
      <c r="F704" s="0" t="s">
        <v>31</v>
      </c>
      <c r="G704" s="16" t="n">
        <v>98.79</v>
      </c>
      <c r="H704" s="0" t="n">
        <v>1</v>
      </c>
      <c r="I704" s="16" t="n">
        <f aca="false">G704*H704*0.05</f>
        <v>4.9395</v>
      </c>
      <c r="J704" s="16" t="n">
        <f aca="false">G704*H704*1.05</f>
        <v>103.7295</v>
      </c>
      <c r="K704" s="17" t="n">
        <v>43526</v>
      </c>
      <c r="L704" s="14" t="s">
        <v>340</v>
      </c>
      <c r="M704" s="14" t="s">
        <v>34</v>
      </c>
      <c r="N704" s="16" t="n">
        <f aca="false">G704*H704</f>
        <v>98.79</v>
      </c>
      <c r="O704" s="18" t="n">
        <v>4.761904762</v>
      </c>
      <c r="P704" s="16" t="n">
        <f aca="false">I704</f>
        <v>4.9395</v>
      </c>
      <c r="Q704" s="19" t="n">
        <v>6.2</v>
      </c>
      <c r="R704" s="0" t="str">
        <f aca="false">TEXT(K704,"mmm yyyy")</f>
        <v>Mar 2019</v>
      </c>
      <c r="S704" s="14" t="n">
        <f aca="false">HOUR(TIMEVALUE(L704))</f>
        <v>20</v>
      </c>
      <c r="T704" s="0" t="str">
        <f aca="false">IF(S704&lt;12,"Morning",IF(S704&lt;17,"Afternoon","Evening"))</f>
        <v>Evening</v>
      </c>
      <c r="U704" s="16" t="n">
        <f aca="false">G704*H704*0.05</f>
        <v>4.9395</v>
      </c>
    </row>
    <row r="705" customFormat="false" ht="15" hidden="false" customHeight="false" outlineLevel="0" collapsed="false">
      <c r="A705" s="0" t="s">
        <v>1180</v>
      </c>
      <c r="B705" s="0" t="s">
        <v>33</v>
      </c>
      <c r="C705" s="0" t="s">
        <v>65</v>
      </c>
      <c r="D705" s="0" t="s">
        <v>22</v>
      </c>
      <c r="E705" s="0" t="s">
        <v>60</v>
      </c>
      <c r="F705" s="0" t="s">
        <v>23</v>
      </c>
      <c r="G705" s="16" t="n">
        <v>71.12</v>
      </c>
      <c r="H705" s="0" t="n">
        <v>8</v>
      </c>
      <c r="I705" s="16" t="n">
        <f aca="false">G705*H705*0.05</f>
        <v>28.448</v>
      </c>
      <c r="J705" s="16" t="n">
        <f aca="false">G705*H705*1.05</f>
        <v>597.408</v>
      </c>
      <c r="K705" s="17" t="n">
        <v>43527</v>
      </c>
      <c r="L705" s="14" t="s">
        <v>757</v>
      </c>
      <c r="M705" s="14" t="s">
        <v>26</v>
      </c>
      <c r="N705" s="16" t="n">
        <f aca="false">G705*H705</f>
        <v>568.96</v>
      </c>
      <c r="O705" s="18" t="n">
        <v>4.761904762</v>
      </c>
      <c r="P705" s="16" t="n">
        <f aca="false">I705</f>
        <v>28.448</v>
      </c>
      <c r="Q705" s="19" t="n">
        <v>8.3</v>
      </c>
      <c r="R705" s="0" t="str">
        <f aca="false">TEXT(K705,"mmm yyyy")</f>
        <v>Mar 2019</v>
      </c>
      <c r="S705" s="14" t="n">
        <f aca="false">HOUR(TIMEVALUE(L705))</f>
        <v>11</v>
      </c>
      <c r="T705" s="0" t="str">
        <f aca="false">IF(S705&lt;12,"Morning",IF(S705&lt;17,"Afternoon","Evening"))</f>
        <v>Morning</v>
      </c>
      <c r="U705" s="16" t="n">
        <f aca="false">G705*H705*0.05</f>
        <v>28.448</v>
      </c>
    </row>
    <row r="706" customFormat="false" ht="15" hidden="false" customHeight="false" outlineLevel="0" collapsed="false">
      <c r="A706" s="0" t="s">
        <v>1181</v>
      </c>
      <c r="B706" s="0" t="s">
        <v>25</v>
      </c>
      <c r="C706" s="0" t="s">
        <v>68</v>
      </c>
      <c r="D706" s="0" t="s">
        <v>21</v>
      </c>
      <c r="E706" s="0" t="s">
        <v>57</v>
      </c>
      <c r="F706" s="0" t="s">
        <v>36</v>
      </c>
      <c r="G706" s="16" t="n">
        <v>43.45</v>
      </c>
      <c r="H706" s="0" t="n">
        <v>2</v>
      </c>
      <c r="I706" s="16" t="n">
        <f aca="false">G706*H706*0.05</f>
        <v>4.345</v>
      </c>
      <c r="J706" s="16" t="n">
        <f aca="false">G706*H706*1.05</f>
        <v>91.245</v>
      </c>
      <c r="K706" s="17" t="n">
        <v>43527</v>
      </c>
      <c r="L706" s="14" t="s">
        <v>645</v>
      </c>
      <c r="M706" s="14" t="s">
        <v>30</v>
      </c>
      <c r="N706" s="16" t="n">
        <f aca="false">G706*H706</f>
        <v>86.9</v>
      </c>
      <c r="O706" s="18" t="n">
        <v>4.761904762</v>
      </c>
      <c r="P706" s="16" t="n">
        <f aca="false">I706</f>
        <v>4.345</v>
      </c>
      <c r="Q706" s="19" t="n">
        <v>4.9</v>
      </c>
      <c r="R706" s="0" t="str">
        <f aca="false">TEXT(K706,"mmm yyyy")</f>
        <v>Mar 2019</v>
      </c>
      <c r="S706" s="14" t="n">
        <f aca="false">HOUR(TIMEVALUE(L706))</f>
        <v>12</v>
      </c>
      <c r="T706" s="0" t="str">
        <f aca="false">IF(S706&lt;12,"Morning",IF(S706&lt;17,"Afternoon","Evening"))</f>
        <v>Afternoon</v>
      </c>
      <c r="U706" s="16" t="n">
        <f aca="false">G706*H706*0.05</f>
        <v>4.345</v>
      </c>
    </row>
    <row r="707" customFormat="false" ht="15" hidden="false" customHeight="false" outlineLevel="0" collapsed="false">
      <c r="A707" s="0" t="s">
        <v>1182</v>
      </c>
      <c r="B707" s="0" t="s">
        <v>29</v>
      </c>
      <c r="C707" s="0" t="s">
        <v>56</v>
      </c>
      <c r="D707" s="0" t="s">
        <v>21</v>
      </c>
      <c r="E707" s="0" t="s">
        <v>57</v>
      </c>
      <c r="F707" s="0" t="s">
        <v>37</v>
      </c>
      <c r="G707" s="16" t="n">
        <v>68.32</v>
      </c>
      <c r="H707" s="0" t="n">
        <v>3</v>
      </c>
      <c r="I707" s="16" t="n">
        <f aca="false">G707*H707*0.05</f>
        <v>10.248</v>
      </c>
      <c r="J707" s="16" t="n">
        <f aca="false">G707*H707*1.05</f>
        <v>215.208</v>
      </c>
      <c r="K707" s="17" t="n">
        <v>43527</v>
      </c>
      <c r="L707" s="14" t="s">
        <v>176</v>
      </c>
      <c r="M707" s="14" t="s">
        <v>26</v>
      </c>
      <c r="N707" s="16" t="n">
        <f aca="false">G707*H707</f>
        <v>204.96</v>
      </c>
      <c r="O707" s="18" t="n">
        <v>4.761904762</v>
      </c>
      <c r="P707" s="16" t="n">
        <f aca="false">I707</f>
        <v>10.248</v>
      </c>
      <c r="Q707" s="19" t="n">
        <v>9.7</v>
      </c>
      <c r="R707" s="0" t="str">
        <f aca="false">TEXT(K707,"mmm yyyy")</f>
        <v>Mar 2019</v>
      </c>
      <c r="S707" s="14" t="n">
        <f aca="false">HOUR(TIMEVALUE(L707))</f>
        <v>20</v>
      </c>
      <c r="T707" s="0" t="str">
        <f aca="false">IF(S707&lt;12,"Morning",IF(S707&lt;17,"Afternoon","Evening"))</f>
        <v>Evening</v>
      </c>
      <c r="U707" s="16" t="n">
        <f aca="false">G707*H707*0.05</f>
        <v>10.248</v>
      </c>
    </row>
    <row r="708" customFormat="false" ht="15" hidden="false" customHeight="false" outlineLevel="0" collapsed="false">
      <c r="A708" s="0" t="s">
        <v>1183</v>
      </c>
      <c r="B708" s="0" t="s">
        <v>29</v>
      </c>
      <c r="C708" s="0" t="s">
        <v>56</v>
      </c>
      <c r="D708" s="0" t="s">
        <v>22</v>
      </c>
      <c r="E708" s="0" t="s">
        <v>60</v>
      </c>
      <c r="F708" s="0" t="s">
        <v>37</v>
      </c>
      <c r="G708" s="16" t="n">
        <v>49</v>
      </c>
      <c r="H708" s="0" t="n">
        <v>10</v>
      </c>
      <c r="I708" s="16" t="n">
        <f aca="false">G708*H708*0.05</f>
        <v>24.5</v>
      </c>
      <c r="J708" s="16" t="n">
        <f aca="false">G708*H708*1.05</f>
        <v>514.5</v>
      </c>
      <c r="K708" s="17" t="n">
        <v>43527</v>
      </c>
      <c r="L708" s="14" t="s">
        <v>1184</v>
      </c>
      <c r="M708" s="14" t="s">
        <v>30</v>
      </c>
      <c r="N708" s="16" t="n">
        <f aca="false">G708*H708</f>
        <v>490</v>
      </c>
      <c r="O708" s="18" t="n">
        <v>4.761904762</v>
      </c>
      <c r="P708" s="16" t="n">
        <f aca="false">I708</f>
        <v>24.5</v>
      </c>
      <c r="Q708" s="19" t="n">
        <v>9.1</v>
      </c>
      <c r="R708" s="0" t="str">
        <f aca="false">TEXT(K708,"mmm yyyy")</f>
        <v>Mar 2019</v>
      </c>
      <c r="S708" s="14" t="n">
        <f aca="false">HOUR(TIMEVALUE(L708))</f>
        <v>20</v>
      </c>
      <c r="T708" s="0" t="str">
        <f aca="false">IF(S708&lt;12,"Morning",IF(S708&lt;17,"Afternoon","Evening"))</f>
        <v>Evening</v>
      </c>
      <c r="U708" s="16" t="n">
        <f aca="false">G708*H708*0.05</f>
        <v>24.5</v>
      </c>
    </row>
    <row r="709" customFormat="false" ht="15" hidden="false" customHeight="false" outlineLevel="0" collapsed="false">
      <c r="A709" s="0" t="s">
        <v>1185</v>
      </c>
      <c r="B709" s="0" t="s">
        <v>29</v>
      </c>
      <c r="C709" s="0" t="s">
        <v>56</v>
      </c>
      <c r="D709" s="0" t="s">
        <v>21</v>
      </c>
      <c r="E709" s="0" t="s">
        <v>57</v>
      </c>
      <c r="F709" s="0" t="s">
        <v>27</v>
      </c>
      <c r="G709" s="16" t="n">
        <v>60.06</v>
      </c>
      <c r="H709" s="0" t="n">
        <v>2</v>
      </c>
      <c r="I709" s="16" t="n">
        <f aca="false">G709*H709*0.05</f>
        <v>6.006</v>
      </c>
      <c r="J709" s="16" t="n">
        <f aca="false">G709*H709*1.05</f>
        <v>126.126</v>
      </c>
      <c r="K709" s="17" t="n">
        <v>43527</v>
      </c>
      <c r="L709" s="14" t="s">
        <v>1186</v>
      </c>
      <c r="M709" s="14" t="s">
        <v>30</v>
      </c>
      <c r="N709" s="16" t="n">
        <f aca="false">G709*H709</f>
        <v>120.12</v>
      </c>
      <c r="O709" s="18" t="n">
        <v>4.761904762</v>
      </c>
      <c r="P709" s="16" t="n">
        <f aca="false">I709</f>
        <v>6.006</v>
      </c>
      <c r="Q709" s="19" t="n">
        <v>4.6</v>
      </c>
      <c r="R709" s="0" t="str">
        <f aca="false">TEXT(K709,"mmm yyyy")</f>
        <v>Mar 2019</v>
      </c>
      <c r="S709" s="14" t="n">
        <f aca="false">HOUR(TIMEVALUE(L709))</f>
        <v>15</v>
      </c>
      <c r="T709" s="0" t="str">
        <f aca="false">IF(S709&lt;12,"Morning",IF(S709&lt;17,"Afternoon","Evening"))</f>
        <v>Afternoon</v>
      </c>
      <c r="U709" s="16" t="n">
        <f aca="false">G709*H709*0.05</f>
        <v>6.006</v>
      </c>
    </row>
    <row r="710" customFormat="false" ht="15" hidden="false" customHeight="false" outlineLevel="0" collapsed="false">
      <c r="A710" s="0" t="s">
        <v>1187</v>
      </c>
      <c r="B710" s="0" t="s">
        <v>33</v>
      </c>
      <c r="C710" s="0" t="s">
        <v>65</v>
      </c>
      <c r="D710" s="0" t="s">
        <v>21</v>
      </c>
      <c r="E710" s="0" t="s">
        <v>60</v>
      </c>
      <c r="F710" s="0" t="s">
        <v>23</v>
      </c>
      <c r="G710" s="16" t="n">
        <v>76.58</v>
      </c>
      <c r="H710" s="0" t="n">
        <v>3</v>
      </c>
      <c r="I710" s="16" t="n">
        <f aca="false">G710*H710*0.05</f>
        <v>11.487</v>
      </c>
      <c r="J710" s="16" t="n">
        <f aca="false">G710*H710*1.05</f>
        <v>241.227</v>
      </c>
      <c r="K710" s="17" t="n">
        <v>43527</v>
      </c>
      <c r="L710" s="14" t="s">
        <v>303</v>
      </c>
      <c r="M710" s="14" t="s">
        <v>26</v>
      </c>
      <c r="N710" s="16" t="n">
        <f aca="false">G710*H710</f>
        <v>229.74</v>
      </c>
      <c r="O710" s="18" t="n">
        <v>4.761904762</v>
      </c>
      <c r="P710" s="16" t="n">
        <f aca="false">I710</f>
        <v>11.487</v>
      </c>
      <c r="Q710" s="19" t="n">
        <v>9.4</v>
      </c>
      <c r="R710" s="0" t="str">
        <f aca="false">TEXT(K710,"mmm yyyy")</f>
        <v>Mar 2019</v>
      </c>
      <c r="S710" s="14" t="n">
        <f aca="false">HOUR(TIMEVALUE(L710))</f>
        <v>15</v>
      </c>
      <c r="T710" s="0" t="str">
        <f aca="false">IF(S710&lt;12,"Morning",IF(S710&lt;17,"Afternoon","Evening"))</f>
        <v>Afternoon</v>
      </c>
      <c r="U710" s="16" t="n">
        <f aca="false">G710*H710*0.05</f>
        <v>11.487</v>
      </c>
    </row>
    <row r="711" customFormat="false" ht="15" hidden="false" customHeight="false" outlineLevel="0" collapsed="false">
      <c r="A711" s="0" t="s">
        <v>1188</v>
      </c>
      <c r="B711" s="0" t="s">
        <v>29</v>
      </c>
      <c r="C711" s="0" t="s">
        <v>56</v>
      </c>
      <c r="D711" s="0" t="s">
        <v>21</v>
      </c>
      <c r="E711" s="0" t="s">
        <v>60</v>
      </c>
      <c r="F711" s="0" t="s">
        <v>35</v>
      </c>
      <c r="G711" s="16" t="n">
        <v>75.43</v>
      </c>
      <c r="H711" s="0" t="n">
        <v>1</v>
      </c>
      <c r="I711" s="16" t="n">
        <f aca="false">G711*H711*0.05</f>
        <v>3.7715</v>
      </c>
      <c r="J711" s="16" t="n">
        <f aca="false">G711*H711*1.05</f>
        <v>79.2015</v>
      </c>
      <c r="K711" s="17" t="n">
        <v>43527</v>
      </c>
      <c r="L711" s="14" t="s">
        <v>1008</v>
      </c>
      <c r="M711" s="14" t="s">
        <v>26</v>
      </c>
      <c r="N711" s="16" t="n">
        <f aca="false">G711*H711</f>
        <v>75.43</v>
      </c>
      <c r="O711" s="18" t="n">
        <v>4.761904762</v>
      </c>
      <c r="P711" s="16" t="n">
        <f aca="false">I711</f>
        <v>3.7715</v>
      </c>
      <c r="Q711" s="19" t="n">
        <v>9.7</v>
      </c>
      <c r="R711" s="0" t="str">
        <f aca="false">TEXT(K711,"mmm yyyy")</f>
        <v>Mar 2019</v>
      </c>
      <c r="S711" s="14" t="n">
        <f aca="false">HOUR(TIMEVALUE(L711))</f>
        <v>18</v>
      </c>
      <c r="T711" s="0" t="str">
        <f aca="false">IF(S711&lt;12,"Morning",IF(S711&lt;17,"Afternoon","Evening"))</f>
        <v>Evening</v>
      </c>
      <c r="U711" s="16" t="n">
        <f aca="false">G711*H711*0.05</f>
        <v>3.7715</v>
      </c>
    </row>
    <row r="712" customFormat="false" ht="15" hidden="false" customHeight="false" outlineLevel="0" collapsed="false">
      <c r="A712" s="0" t="s">
        <v>1189</v>
      </c>
      <c r="B712" s="0" t="s">
        <v>29</v>
      </c>
      <c r="C712" s="0" t="s">
        <v>56</v>
      </c>
      <c r="D712" s="0" t="s">
        <v>21</v>
      </c>
      <c r="E712" s="0" t="s">
        <v>60</v>
      </c>
      <c r="F712" s="0" t="s">
        <v>23</v>
      </c>
      <c r="G712" s="16" t="n">
        <v>71.12</v>
      </c>
      <c r="H712" s="0" t="n">
        <v>3</v>
      </c>
      <c r="I712" s="16" t="n">
        <f aca="false">G712*H712*0.05</f>
        <v>10.668</v>
      </c>
      <c r="J712" s="16" t="n">
        <f aca="false">G712*H712*1.05</f>
        <v>224.028</v>
      </c>
      <c r="K712" s="17" t="n">
        <v>43527</v>
      </c>
      <c r="L712" s="14" t="s">
        <v>1190</v>
      </c>
      <c r="M712" s="14" t="s">
        <v>30</v>
      </c>
      <c r="N712" s="16" t="n">
        <f aca="false">G712*H712</f>
        <v>213.36</v>
      </c>
      <c r="O712" s="18" t="n">
        <v>4.761904762</v>
      </c>
      <c r="P712" s="16" t="n">
        <f aca="false">I712</f>
        <v>10.668</v>
      </c>
      <c r="Q712" s="19" t="n">
        <v>6.3</v>
      </c>
      <c r="R712" s="0" t="str">
        <f aca="false">TEXT(K712,"mmm yyyy")</f>
        <v>Mar 2019</v>
      </c>
      <c r="S712" s="14" t="n">
        <f aca="false">HOUR(TIMEVALUE(L712))</f>
        <v>18</v>
      </c>
      <c r="T712" s="0" t="str">
        <f aca="false">IF(S712&lt;12,"Morning",IF(S712&lt;17,"Afternoon","Evening"))</f>
        <v>Evening</v>
      </c>
      <c r="U712" s="16" t="n">
        <f aca="false">G712*H712*0.05</f>
        <v>10.668</v>
      </c>
    </row>
    <row r="713" customFormat="false" ht="15" hidden="false" customHeight="false" outlineLevel="0" collapsed="false">
      <c r="A713" s="0" t="s">
        <v>1191</v>
      </c>
      <c r="B713" s="0" t="s">
        <v>33</v>
      </c>
      <c r="C713" s="0" t="s">
        <v>65</v>
      </c>
      <c r="D713" s="0" t="s">
        <v>21</v>
      </c>
      <c r="E713" s="0" t="s">
        <v>60</v>
      </c>
      <c r="F713" s="0" t="s">
        <v>31</v>
      </c>
      <c r="G713" s="16" t="n">
        <v>83.78</v>
      </c>
      <c r="H713" s="0" t="n">
        <v>9</v>
      </c>
      <c r="I713" s="16" t="n">
        <f aca="false">G713*H713*0.05</f>
        <v>37.701</v>
      </c>
      <c r="J713" s="16" t="n">
        <f aca="false">G713*H713*1.05</f>
        <v>791.721</v>
      </c>
      <c r="K713" s="17" t="n">
        <v>43527</v>
      </c>
      <c r="L713" s="14" t="s">
        <v>636</v>
      </c>
      <c r="M713" s="14" t="s">
        <v>26</v>
      </c>
      <c r="N713" s="16" t="n">
        <f aca="false">G713*H713</f>
        <v>754.02</v>
      </c>
      <c r="O713" s="18" t="n">
        <v>4.761904762</v>
      </c>
      <c r="P713" s="16" t="n">
        <f aca="false">I713</f>
        <v>37.701</v>
      </c>
      <c r="Q713" s="19" t="n">
        <v>6.3</v>
      </c>
      <c r="R713" s="0" t="str">
        <f aca="false">TEXT(K713,"mmm yyyy")</f>
        <v>Mar 2019</v>
      </c>
      <c r="S713" s="14" t="n">
        <f aca="false">HOUR(TIMEVALUE(L713))</f>
        <v>14</v>
      </c>
      <c r="T713" s="0" t="str">
        <f aca="false">IF(S713&lt;12,"Morning",IF(S713&lt;17,"Afternoon","Evening"))</f>
        <v>Afternoon</v>
      </c>
      <c r="U713" s="16" t="n">
        <f aca="false">G713*H713*0.05</f>
        <v>37.701</v>
      </c>
    </row>
    <row r="714" customFormat="false" ht="15" hidden="false" customHeight="false" outlineLevel="0" collapsed="false">
      <c r="A714" s="0" t="s">
        <v>1192</v>
      </c>
      <c r="B714" s="0" t="s">
        <v>29</v>
      </c>
      <c r="C714" s="0" t="s">
        <v>56</v>
      </c>
      <c r="D714" s="0" t="s">
        <v>21</v>
      </c>
      <c r="E714" s="0" t="s">
        <v>57</v>
      </c>
      <c r="F714" s="0" t="s">
        <v>36</v>
      </c>
      <c r="G714" s="16" t="n">
        <v>41.93</v>
      </c>
      <c r="H714" s="0" t="n">
        <v>3</v>
      </c>
      <c r="I714" s="16" t="n">
        <f aca="false">G714*H714*0.05</f>
        <v>6.2895</v>
      </c>
      <c r="J714" s="16" t="n">
        <f aca="false">G714*H714*1.05</f>
        <v>132.0795</v>
      </c>
      <c r="K714" s="17" t="n">
        <v>43527</v>
      </c>
      <c r="L714" s="14" t="s">
        <v>391</v>
      </c>
      <c r="M714" s="14" t="s">
        <v>34</v>
      </c>
      <c r="N714" s="16" t="n">
        <f aca="false">G714*H714</f>
        <v>125.79</v>
      </c>
      <c r="O714" s="18" t="n">
        <v>4.761904762</v>
      </c>
      <c r="P714" s="16" t="n">
        <f aca="false">I714</f>
        <v>6.2895</v>
      </c>
      <c r="Q714" s="19" t="n">
        <v>8.4</v>
      </c>
      <c r="R714" s="0" t="str">
        <f aca="false">TEXT(K714,"mmm yyyy")</f>
        <v>Mar 2019</v>
      </c>
      <c r="S714" s="14" t="n">
        <f aca="false">HOUR(TIMEVALUE(L714))</f>
        <v>20</v>
      </c>
      <c r="T714" s="0" t="str">
        <f aca="false">IF(S714&lt;12,"Morning",IF(S714&lt;17,"Afternoon","Evening"))</f>
        <v>Evening</v>
      </c>
      <c r="U714" s="16" t="n">
        <f aca="false">G714*H714*0.05</f>
        <v>6.2895</v>
      </c>
    </row>
    <row r="715" customFormat="false" ht="15" hidden="false" customHeight="false" outlineLevel="0" collapsed="false">
      <c r="A715" s="0" t="s">
        <v>1193</v>
      </c>
      <c r="B715" s="0" t="s">
        <v>33</v>
      </c>
      <c r="C715" s="0" t="s">
        <v>65</v>
      </c>
      <c r="D715" s="0" t="s">
        <v>22</v>
      </c>
      <c r="E715" s="0" t="s">
        <v>57</v>
      </c>
      <c r="F715" s="0" t="s">
        <v>31</v>
      </c>
      <c r="G715" s="16" t="n">
        <v>23.18</v>
      </c>
      <c r="H715" s="0" t="n">
        <v>2</v>
      </c>
      <c r="I715" s="16" t="n">
        <f aca="false">G715*H715*0.05</f>
        <v>2.318</v>
      </c>
      <c r="J715" s="16" t="n">
        <f aca="false">G715*H715*1.05</f>
        <v>48.678</v>
      </c>
      <c r="K715" s="17" t="n">
        <v>43527</v>
      </c>
      <c r="L715" s="14" t="s">
        <v>617</v>
      </c>
      <c r="M715" s="14" t="s">
        <v>30</v>
      </c>
      <c r="N715" s="16" t="n">
        <f aca="false">G715*H715</f>
        <v>46.36</v>
      </c>
      <c r="O715" s="18" t="n">
        <v>4.761904762</v>
      </c>
      <c r="P715" s="16" t="n">
        <f aca="false">I715</f>
        <v>2.318</v>
      </c>
      <c r="Q715" s="19" t="n">
        <v>7.8</v>
      </c>
      <c r="R715" s="0" t="str">
        <f aca="false">TEXT(K715,"mmm yyyy")</f>
        <v>Mar 2019</v>
      </c>
      <c r="S715" s="14" t="n">
        <f aca="false">HOUR(TIMEVALUE(L715))</f>
        <v>17</v>
      </c>
      <c r="T715" s="0" t="str">
        <f aca="false">IF(S715&lt;12,"Morning",IF(S715&lt;17,"Afternoon","Evening"))</f>
        <v>Evening</v>
      </c>
      <c r="U715" s="16" t="n">
        <f aca="false">G715*H715*0.05</f>
        <v>2.318</v>
      </c>
    </row>
    <row r="716" customFormat="false" ht="15" hidden="false" customHeight="false" outlineLevel="0" collapsed="false">
      <c r="A716" s="0" t="s">
        <v>1194</v>
      </c>
      <c r="B716" s="0" t="s">
        <v>29</v>
      </c>
      <c r="C716" s="0" t="s">
        <v>56</v>
      </c>
      <c r="D716" s="0" t="s">
        <v>21</v>
      </c>
      <c r="E716" s="0" t="s">
        <v>60</v>
      </c>
      <c r="F716" s="0" t="s">
        <v>37</v>
      </c>
      <c r="G716" s="16" t="n">
        <v>69.31</v>
      </c>
      <c r="H716" s="0" t="n">
        <v>6</v>
      </c>
      <c r="I716" s="16" t="n">
        <f aca="false">G716*H716*0.05</f>
        <v>20.793</v>
      </c>
      <c r="J716" s="16" t="n">
        <f aca="false">G716*H716*1.05</f>
        <v>436.653</v>
      </c>
      <c r="K716" s="17" t="n">
        <v>43528</v>
      </c>
      <c r="L716" s="14" t="s">
        <v>252</v>
      </c>
      <c r="M716" s="14" t="s">
        <v>30</v>
      </c>
      <c r="N716" s="16" t="n">
        <f aca="false">G716*H716</f>
        <v>415.86</v>
      </c>
      <c r="O716" s="18" t="n">
        <v>4.761904762</v>
      </c>
      <c r="P716" s="16" t="n">
        <f aca="false">I716</f>
        <v>20.793</v>
      </c>
      <c r="Q716" s="19" t="n">
        <v>6.5</v>
      </c>
      <c r="R716" s="0" t="str">
        <f aca="false">TEXT(K716,"mmm yyyy")</f>
        <v>Mar 2019</v>
      </c>
      <c r="S716" s="14" t="n">
        <f aca="false">HOUR(TIMEVALUE(L716))</f>
        <v>11</v>
      </c>
      <c r="T716" s="0" t="str">
        <f aca="false">IF(S716&lt;12,"Morning",IF(S716&lt;17,"Afternoon","Evening"))</f>
        <v>Morning</v>
      </c>
      <c r="U716" s="16" t="n">
        <f aca="false">G716*H716*0.05</f>
        <v>20.793</v>
      </c>
    </row>
    <row r="717" customFormat="false" ht="15" hidden="false" customHeight="false" outlineLevel="0" collapsed="false">
      <c r="A717" s="0" t="s">
        <v>1195</v>
      </c>
      <c r="B717" s="0" t="s">
        <v>29</v>
      </c>
      <c r="C717" s="0" t="s">
        <v>56</v>
      </c>
      <c r="D717" s="0" t="s">
        <v>21</v>
      </c>
      <c r="E717" s="0" t="s">
        <v>60</v>
      </c>
      <c r="F717" s="0" t="s">
        <v>37</v>
      </c>
      <c r="G717" s="16" t="n">
        <v>67.85</v>
      </c>
      <c r="H717" s="0" t="n">
        <v>10</v>
      </c>
      <c r="I717" s="16" t="n">
        <f aca="false">G717*H717*0.05</f>
        <v>33.925</v>
      </c>
      <c r="J717" s="16" t="n">
        <f aca="false">G717*H717*1.05</f>
        <v>712.425</v>
      </c>
      <c r="K717" s="17" t="n">
        <v>43528</v>
      </c>
      <c r="L717" s="14" t="s">
        <v>1008</v>
      </c>
      <c r="M717" s="14" t="s">
        <v>34</v>
      </c>
      <c r="N717" s="16" t="n">
        <f aca="false">G717*H717</f>
        <v>678.5</v>
      </c>
      <c r="O717" s="18" t="n">
        <v>4.761904762</v>
      </c>
      <c r="P717" s="16" t="n">
        <f aca="false">I717</f>
        <v>33.925</v>
      </c>
      <c r="Q717" s="19" t="n">
        <v>9.1</v>
      </c>
      <c r="R717" s="0" t="str">
        <f aca="false">TEXT(K717,"mmm yyyy")</f>
        <v>Mar 2019</v>
      </c>
      <c r="S717" s="14" t="n">
        <f aca="false">HOUR(TIMEVALUE(L717))</f>
        <v>18</v>
      </c>
      <c r="T717" s="0" t="str">
        <f aca="false">IF(S717&lt;12,"Morning",IF(S717&lt;17,"Afternoon","Evening"))</f>
        <v>Evening</v>
      </c>
      <c r="U717" s="16" t="n">
        <f aca="false">G717*H717*0.05</f>
        <v>33.925</v>
      </c>
    </row>
    <row r="718" customFormat="false" ht="15" hidden="false" customHeight="false" outlineLevel="0" collapsed="false">
      <c r="A718" s="0" t="s">
        <v>1196</v>
      </c>
      <c r="B718" s="0" t="s">
        <v>29</v>
      </c>
      <c r="C718" s="0" t="s">
        <v>56</v>
      </c>
      <c r="D718" s="0" t="s">
        <v>22</v>
      </c>
      <c r="E718" s="0" t="s">
        <v>57</v>
      </c>
      <c r="F718" s="0" t="s">
        <v>31</v>
      </c>
      <c r="G718" s="16" t="n">
        <v>91.19</v>
      </c>
      <c r="H718" s="0" t="n">
        <v>6</v>
      </c>
      <c r="I718" s="16" t="n">
        <f aca="false">G718*H718*0.05</f>
        <v>27.357</v>
      </c>
      <c r="J718" s="16" t="n">
        <f aca="false">G718*H718*1.05</f>
        <v>574.497</v>
      </c>
      <c r="K718" s="17" t="n">
        <v>43528</v>
      </c>
      <c r="L718" s="14" t="s">
        <v>1197</v>
      </c>
      <c r="M718" s="14" t="s">
        <v>34</v>
      </c>
      <c r="N718" s="16" t="n">
        <f aca="false">G718*H718</f>
        <v>547.14</v>
      </c>
      <c r="O718" s="18" t="n">
        <v>4.761904762</v>
      </c>
      <c r="P718" s="16" t="n">
        <f aca="false">I718</f>
        <v>27.357</v>
      </c>
      <c r="Q718" s="19" t="n">
        <v>4</v>
      </c>
      <c r="R718" s="0" t="str">
        <f aca="false">TEXT(K718,"mmm yyyy")</f>
        <v>Mar 2019</v>
      </c>
      <c r="S718" s="14" t="n">
        <f aca="false">HOUR(TIMEVALUE(L718))</f>
        <v>14</v>
      </c>
      <c r="T718" s="0" t="str">
        <f aca="false">IF(S718&lt;12,"Morning",IF(S718&lt;17,"Afternoon","Evening"))</f>
        <v>Afternoon</v>
      </c>
      <c r="U718" s="16" t="n">
        <f aca="false">G718*H718*0.05</f>
        <v>27.357</v>
      </c>
    </row>
    <row r="719" customFormat="false" ht="15" hidden="false" customHeight="false" outlineLevel="0" collapsed="false">
      <c r="A719" s="0" t="s">
        <v>1198</v>
      </c>
      <c r="B719" s="0" t="s">
        <v>33</v>
      </c>
      <c r="C719" s="0" t="s">
        <v>65</v>
      </c>
      <c r="D719" s="0" t="s">
        <v>22</v>
      </c>
      <c r="E719" s="0" t="s">
        <v>60</v>
      </c>
      <c r="F719" s="0" t="s">
        <v>31</v>
      </c>
      <c r="G719" s="16" t="n">
        <v>77.48</v>
      </c>
      <c r="H719" s="0" t="n">
        <v>1</v>
      </c>
      <c r="I719" s="16" t="n">
        <f aca="false">G719*H719*0.05</f>
        <v>3.874</v>
      </c>
      <c r="J719" s="16" t="n">
        <f aca="false">G719*H719*1.05</f>
        <v>81.354</v>
      </c>
      <c r="K719" s="17" t="n">
        <v>43528</v>
      </c>
      <c r="L719" s="14" t="s">
        <v>1199</v>
      </c>
      <c r="M719" s="14" t="s">
        <v>34</v>
      </c>
      <c r="N719" s="16" t="n">
        <f aca="false">G719*H719</f>
        <v>77.48</v>
      </c>
      <c r="O719" s="18" t="n">
        <v>4.761904762</v>
      </c>
      <c r="P719" s="16" t="n">
        <f aca="false">I719</f>
        <v>3.874</v>
      </c>
      <c r="Q719" s="19" t="n">
        <v>7.8</v>
      </c>
      <c r="R719" s="0" t="str">
        <f aca="false">TEXT(K719,"mmm yyyy")</f>
        <v>Mar 2019</v>
      </c>
      <c r="S719" s="14" t="n">
        <f aca="false">HOUR(TIMEVALUE(L719))</f>
        <v>17</v>
      </c>
      <c r="T719" s="0" t="str">
        <f aca="false">IF(S719&lt;12,"Morning",IF(S719&lt;17,"Afternoon","Evening"))</f>
        <v>Evening</v>
      </c>
      <c r="U719" s="16" t="n">
        <f aca="false">G719*H719*0.05</f>
        <v>3.874</v>
      </c>
    </row>
    <row r="720" customFormat="false" ht="15" hidden="false" customHeight="false" outlineLevel="0" collapsed="false">
      <c r="A720" s="0" t="s">
        <v>1200</v>
      </c>
      <c r="B720" s="0" t="s">
        <v>25</v>
      </c>
      <c r="C720" s="0" t="s">
        <v>68</v>
      </c>
      <c r="D720" s="0" t="s">
        <v>21</v>
      </c>
      <c r="E720" s="0" t="s">
        <v>60</v>
      </c>
      <c r="F720" s="0" t="s">
        <v>35</v>
      </c>
      <c r="G720" s="16" t="n">
        <v>72.71</v>
      </c>
      <c r="H720" s="0" t="n">
        <v>9</v>
      </c>
      <c r="I720" s="16" t="n">
        <f aca="false">G720*H720*0.05</f>
        <v>32.7195</v>
      </c>
      <c r="J720" s="16" t="n">
        <f aca="false">G720*H720*1.05</f>
        <v>687.1095</v>
      </c>
      <c r="K720" s="17" t="n">
        <v>43528</v>
      </c>
      <c r="L720" s="14" t="s">
        <v>1201</v>
      </c>
      <c r="M720" s="14" t="s">
        <v>30</v>
      </c>
      <c r="N720" s="16" t="n">
        <f aca="false">G720*H720</f>
        <v>654.39</v>
      </c>
      <c r="O720" s="18" t="n">
        <v>4.761904762</v>
      </c>
      <c r="P720" s="16" t="n">
        <f aca="false">I720</f>
        <v>32.7195</v>
      </c>
      <c r="Q720" s="19" t="n">
        <v>7.8</v>
      </c>
      <c r="R720" s="0" t="str">
        <f aca="false">TEXT(K720,"mmm yyyy")</f>
        <v>Mar 2019</v>
      </c>
      <c r="S720" s="14" t="n">
        <f aca="false">HOUR(TIMEVALUE(L720))</f>
        <v>14</v>
      </c>
      <c r="T720" s="0" t="str">
        <f aca="false">IF(S720&lt;12,"Morning",IF(S720&lt;17,"Afternoon","Evening"))</f>
        <v>Afternoon</v>
      </c>
      <c r="U720" s="16" t="n">
        <f aca="false">G720*H720*0.05</f>
        <v>32.7195</v>
      </c>
    </row>
    <row r="721" customFormat="false" ht="15" hidden="false" customHeight="false" outlineLevel="0" collapsed="false">
      <c r="A721" s="0" t="s">
        <v>1202</v>
      </c>
      <c r="B721" s="0" t="s">
        <v>29</v>
      </c>
      <c r="C721" s="0" t="s">
        <v>56</v>
      </c>
      <c r="D721" s="0" t="s">
        <v>22</v>
      </c>
      <c r="E721" s="0" t="s">
        <v>57</v>
      </c>
      <c r="F721" s="0" t="s">
        <v>23</v>
      </c>
      <c r="G721" s="16" t="n">
        <v>68.73</v>
      </c>
      <c r="H721" s="0" t="n">
        <v>5</v>
      </c>
      <c r="I721" s="16" t="n">
        <f aca="false">G721*H721*0.05</f>
        <v>17.1825</v>
      </c>
      <c r="J721" s="16" t="n">
        <f aca="false">G721*H721*1.05</f>
        <v>360.8325</v>
      </c>
      <c r="K721" s="17" t="n">
        <v>43528</v>
      </c>
      <c r="L721" s="14" t="s">
        <v>749</v>
      </c>
      <c r="M721" s="14" t="s">
        <v>30</v>
      </c>
      <c r="N721" s="16" t="n">
        <f aca="false">G721*H721</f>
        <v>343.65</v>
      </c>
      <c r="O721" s="18" t="n">
        <v>4.761904762</v>
      </c>
      <c r="P721" s="16" t="n">
        <f aca="false">I721</f>
        <v>17.1825</v>
      </c>
      <c r="Q721" s="19" t="n">
        <v>7.7</v>
      </c>
      <c r="R721" s="0" t="str">
        <f aca="false">TEXT(K721,"mmm yyyy")</f>
        <v>Mar 2019</v>
      </c>
      <c r="S721" s="14" t="n">
        <f aca="false">HOUR(TIMEVALUE(L721))</f>
        <v>19</v>
      </c>
      <c r="T721" s="0" t="str">
        <f aca="false">IF(S721&lt;12,"Morning",IF(S721&lt;17,"Afternoon","Evening"))</f>
        <v>Evening</v>
      </c>
      <c r="U721" s="16" t="n">
        <f aca="false">G721*H721*0.05</f>
        <v>17.1825</v>
      </c>
    </row>
    <row r="722" customFormat="false" ht="15" hidden="false" customHeight="false" outlineLevel="0" collapsed="false">
      <c r="A722" s="0" t="s">
        <v>1203</v>
      </c>
      <c r="B722" s="0" t="s">
        <v>29</v>
      </c>
      <c r="C722" s="0" t="s">
        <v>56</v>
      </c>
      <c r="D722" s="0" t="s">
        <v>22</v>
      </c>
      <c r="E722" s="0" t="s">
        <v>57</v>
      </c>
      <c r="F722" s="0" t="s">
        <v>31</v>
      </c>
      <c r="G722" s="16" t="n">
        <v>74.05</v>
      </c>
      <c r="H722" s="0" t="n">
        <v>1</v>
      </c>
      <c r="I722" s="16" t="n">
        <f aca="false">G722*H722*0.05</f>
        <v>3.7025</v>
      </c>
      <c r="J722" s="16" t="n">
        <f aca="false">G722*H722*1.05</f>
        <v>77.7525</v>
      </c>
      <c r="K722" s="17" t="n">
        <v>43528</v>
      </c>
      <c r="L722" s="14" t="s">
        <v>1204</v>
      </c>
      <c r="M722" s="14" t="s">
        <v>26</v>
      </c>
      <c r="N722" s="16" t="n">
        <f aca="false">G722*H722</f>
        <v>74.05</v>
      </c>
      <c r="O722" s="18" t="n">
        <v>4.761904762</v>
      </c>
      <c r="P722" s="16" t="n">
        <f aca="false">I722</f>
        <v>3.7025</v>
      </c>
      <c r="Q722" s="19" t="n">
        <v>4.2</v>
      </c>
      <c r="R722" s="0" t="str">
        <f aca="false">TEXT(K722,"mmm yyyy")</f>
        <v>Mar 2019</v>
      </c>
      <c r="S722" s="14" t="n">
        <f aca="false">HOUR(TIMEVALUE(L722))</f>
        <v>19</v>
      </c>
      <c r="T722" s="0" t="str">
        <f aca="false">IF(S722&lt;12,"Morning",IF(S722&lt;17,"Afternoon","Evening"))</f>
        <v>Evening</v>
      </c>
      <c r="U722" s="16" t="n">
        <f aca="false">G722*H722*0.05</f>
        <v>3.7025</v>
      </c>
    </row>
    <row r="723" customFormat="false" ht="15" hidden="false" customHeight="false" outlineLevel="0" collapsed="false">
      <c r="A723" s="0" t="s">
        <v>1205</v>
      </c>
      <c r="B723" s="0" t="s">
        <v>25</v>
      </c>
      <c r="C723" s="0" t="s">
        <v>68</v>
      </c>
      <c r="D723" s="0" t="s">
        <v>21</v>
      </c>
      <c r="E723" s="0" t="s">
        <v>57</v>
      </c>
      <c r="F723" s="0" t="s">
        <v>23</v>
      </c>
      <c r="G723" s="16" t="n">
        <v>75.65</v>
      </c>
      <c r="H723" s="0" t="n">
        <v>9</v>
      </c>
      <c r="I723" s="16" t="n">
        <f aca="false">G723*H723*0.05</f>
        <v>34.0425</v>
      </c>
      <c r="J723" s="16" t="n">
        <f aca="false">G723*H723*1.05</f>
        <v>714.8925</v>
      </c>
      <c r="K723" s="17" t="n">
        <v>43528</v>
      </c>
      <c r="L723" s="14" t="s">
        <v>830</v>
      </c>
      <c r="M723" s="14" t="s">
        <v>34</v>
      </c>
      <c r="N723" s="16" t="n">
        <f aca="false">G723*H723</f>
        <v>680.85</v>
      </c>
      <c r="O723" s="18" t="n">
        <v>4.761904762</v>
      </c>
      <c r="P723" s="16" t="n">
        <f aca="false">I723</f>
        <v>34.0425</v>
      </c>
      <c r="Q723" s="19" t="n">
        <v>8.6</v>
      </c>
      <c r="R723" s="0" t="str">
        <f aca="false">TEXT(K723,"mmm yyyy")</f>
        <v>Mar 2019</v>
      </c>
      <c r="S723" s="14" t="n">
        <f aca="false">HOUR(TIMEVALUE(L723))</f>
        <v>10</v>
      </c>
      <c r="T723" s="0" t="str">
        <f aca="false">IF(S723&lt;12,"Morning",IF(S723&lt;17,"Afternoon","Evening"))</f>
        <v>Morning</v>
      </c>
      <c r="U723" s="16" t="n">
        <f aca="false">G723*H723*0.05</f>
        <v>34.0425</v>
      </c>
    </row>
    <row r="724" customFormat="false" ht="15" hidden="false" customHeight="false" outlineLevel="0" collapsed="false">
      <c r="A724" s="0" t="s">
        <v>1206</v>
      </c>
      <c r="B724" s="0" t="s">
        <v>25</v>
      </c>
      <c r="C724" s="0" t="s">
        <v>68</v>
      </c>
      <c r="D724" s="0" t="s">
        <v>21</v>
      </c>
      <c r="E724" s="0" t="s">
        <v>60</v>
      </c>
      <c r="F724" s="0" t="s">
        <v>31</v>
      </c>
      <c r="G724" s="16" t="n">
        <v>85.7</v>
      </c>
      <c r="H724" s="0" t="n">
        <v>5</v>
      </c>
      <c r="I724" s="16" t="n">
        <f aca="false">G724*H724*0.05</f>
        <v>21.425</v>
      </c>
      <c r="J724" s="16" t="n">
        <f aca="false">G724*H724*1.05</f>
        <v>449.925</v>
      </c>
      <c r="K724" s="17" t="n">
        <v>43528</v>
      </c>
      <c r="L724" s="14" t="s">
        <v>1207</v>
      </c>
      <c r="M724" s="14" t="s">
        <v>26</v>
      </c>
      <c r="N724" s="16" t="n">
        <f aca="false">G724*H724</f>
        <v>428.5</v>
      </c>
      <c r="O724" s="18" t="n">
        <v>4.761904762</v>
      </c>
      <c r="P724" s="16" t="n">
        <f aca="false">I724</f>
        <v>21.425</v>
      </c>
      <c r="Q724" s="19" t="n">
        <v>4.2</v>
      </c>
      <c r="R724" s="0" t="str">
        <f aca="false">TEXT(K724,"mmm yyyy")</f>
        <v>Mar 2019</v>
      </c>
      <c r="S724" s="14" t="n">
        <f aca="false">HOUR(TIMEVALUE(L724))</f>
        <v>11</v>
      </c>
      <c r="T724" s="0" t="str">
        <f aca="false">IF(S724&lt;12,"Morning",IF(S724&lt;17,"Afternoon","Evening"))</f>
        <v>Morning</v>
      </c>
      <c r="U724" s="16" t="n">
        <f aca="false">G724*H724*0.05</f>
        <v>21.425</v>
      </c>
    </row>
    <row r="725" customFormat="false" ht="15" hidden="false" customHeight="false" outlineLevel="0" collapsed="false">
      <c r="A725" s="0" t="s">
        <v>1208</v>
      </c>
      <c r="B725" s="0" t="s">
        <v>25</v>
      </c>
      <c r="C725" s="0" t="s">
        <v>68</v>
      </c>
      <c r="D725" s="0" t="s">
        <v>21</v>
      </c>
      <c r="E725" s="0" t="s">
        <v>57</v>
      </c>
      <c r="F725" s="0" t="s">
        <v>31</v>
      </c>
      <c r="G725" s="16" t="n">
        <v>95.64</v>
      </c>
      <c r="H725" s="0" t="n">
        <v>3</v>
      </c>
      <c r="I725" s="16" t="n">
        <f aca="false">G725*H725*0.05</f>
        <v>14.346</v>
      </c>
      <c r="J725" s="16" t="n">
        <f aca="false">G725*H725*1.05</f>
        <v>301.266</v>
      </c>
      <c r="K725" s="17" t="n">
        <v>43528</v>
      </c>
      <c r="L725" s="14" t="s">
        <v>1199</v>
      </c>
      <c r="M725" s="14" t="s">
        <v>26</v>
      </c>
      <c r="N725" s="16" t="n">
        <f aca="false">G725*H725</f>
        <v>286.92</v>
      </c>
      <c r="O725" s="18" t="n">
        <v>4.761904762</v>
      </c>
      <c r="P725" s="16" t="n">
        <f aca="false">I725</f>
        <v>14.346</v>
      </c>
      <c r="Q725" s="19" t="n">
        <v>8.9</v>
      </c>
      <c r="R725" s="0" t="str">
        <f aca="false">TEXT(K725,"mmm yyyy")</f>
        <v>Mar 2019</v>
      </c>
      <c r="S725" s="14" t="n">
        <f aca="false">HOUR(TIMEVALUE(L725))</f>
        <v>17</v>
      </c>
      <c r="T725" s="0" t="str">
        <f aca="false">IF(S725&lt;12,"Morning",IF(S725&lt;17,"Afternoon","Evening"))</f>
        <v>Evening</v>
      </c>
      <c r="U725" s="16" t="n">
        <f aca="false">G725*H725*0.05</f>
        <v>14.346</v>
      </c>
    </row>
    <row r="726" customFormat="false" ht="15" hidden="false" customHeight="false" outlineLevel="0" collapsed="false">
      <c r="A726" s="0" t="s">
        <v>1209</v>
      </c>
      <c r="B726" s="0" t="s">
        <v>33</v>
      </c>
      <c r="C726" s="0" t="s">
        <v>65</v>
      </c>
      <c r="D726" s="0" t="s">
        <v>21</v>
      </c>
      <c r="E726" s="0" t="s">
        <v>60</v>
      </c>
      <c r="F726" s="0" t="s">
        <v>35</v>
      </c>
      <c r="G726" s="16" t="n">
        <v>69.48</v>
      </c>
      <c r="H726" s="0" t="n">
        <v>3</v>
      </c>
      <c r="I726" s="16" t="n">
        <f aca="false">G726*H726*0.05</f>
        <v>10.422</v>
      </c>
      <c r="J726" s="16" t="n">
        <f aca="false">G726*H726*1.05</f>
        <v>218.862</v>
      </c>
      <c r="K726" s="17" t="n">
        <v>43528</v>
      </c>
      <c r="L726" s="14" t="s">
        <v>487</v>
      </c>
      <c r="M726" s="14" t="s">
        <v>34</v>
      </c>
      <c r="N726" s="16" t="n">
        <f aca="false">G726*H726</f>
        <v>208.44</v>
      </c>
      <c r="O726" s="18" t="n">
        <v>4.761904762</v>
      </c>
      <c r="P726" s="16" t="n">
        <f aca="false">I726</f>
        <v>10.422</v>
      </c>
      <c r="Q726" s="19" t="n">
        <v>6</v>
      </c>
      <c r="R726" s="0" t="str">
        <f aca="false">TEXT(K726,"mmm yyyy")</f>
        <v>Mar 2019</v>
      </c>
      <c r="S726" s="14" t="n">
        <f aca="false">HOUR(TIMEVALUE(L726))</f>
        <v>16</v>
      </c>
      <c r="T726" s="0" t="str">
        <f aca="false">IF(S726&lt;12,"Morning",IF(S726&lt;17,"Afternoon","Evening"))</f>
        <v>Afternoon</v>
      </c>
      <c r="U726" s="16" t="n">
        <f aca="false">G726*H726*0.05</f>
        <v>10.422</v>
      </c>
    </row>
    <row r="727" customFormat="false" ht="15" hidden="false" customHeight="false" outlineLevel="0" collapsed="false">
      <c r="A727" s="0" t="s">
        <v>1210</v>
      </c>
      <c r="B727" s="0" t="s">
        <v>33</v>
      </c>
      <c r="C727" s="0" t="s">
        <v>65</v>
      </c>
      <c r="D727" s="0" t="s">
        <v>21</v>
      </c>
      <c r="E727" s="0" t="s">
        <v>57</v>
      </c>
      <c r="F727" s="0" t="s">
        <v>35</v>
      </c>
      <c r="G727" s="16" t="n">
        <v>67.2</v>
      </c>
      <c r="H727" s="0" t="n">
        <v>7</v>
      </c>
      <c r="I727" s="16" t="n">
        <f aca="false">G727*H727*0.05</f>
        <v>23.52</v>
      </c>
      <c r="J727" s="16" t="n">
        <f aca="false">G727*H727*1.05</f>
        <v>493.92</v>
      </c>
      <c r="K727" s="17" t="n">
        <v>43529</v>
      </c>
      <c r="L727" s="14" t="s">
        <v>1211</v>
      </c>
      <c r="M727" s="14" t="s">
        <v>34</v>
      </c>
      <c r="N727" s="16" t="n">
        <f aca="false">G727*H727</f>
        <v>470.4</v>
      </c>
      <c r="O727" s="18" t="n">
        <v>4.761904762</v>
      </c>
      <c r="P727" s="16" t="n">
        <f aca="false">I727</f>
        <v>23.52</v>
      </c>
      <c r="Q727" s="19" t="n">
        <v>8.5</v>
      </c>
      <c r="R727" s="0" t="str">
        <f aca="false">TEXT(K727,"mmm yyyy")</f>
        <v>Mar 2019</v>
      </c>
      <c r="S727" s="14" t="n">
        <f aca="false">HOUR(TIMEVALUE(L727))</f>
        <v>18</v>
      </c>
      <c r="T727" s="0" t="str">
        <f aca="false">IF(S727&lt;12,"Morning",IF(S727&lt;17,"Afternoon","Evening"))</f>
        <v>Evening</v>
      </c>
      <c r="U727" s="16" t="n">
        <f aca="false">G727*H727*0.05</f>
        <v>23.52</v>
      </c>
    </row>
    <row r="728" customFormat="false" ht="15" hidden="false" customHeight="false" outlineLevel="0" collapsed="false">
      <c r="A728" s="0" t="s">
        <v>1212</v>
      </c>
      <c r="B728" s="0" t="s">
        <v>33</v>
      </c>
      <c r="C728" s="0" t="s">
        <v>65</v>
      </c>
      <c r="D728" s="0" t="s">
        <v>22</v>
      </c>
      <c r="E728" s="0" t="s">
        <v>60</v>
      </c>
      <c r="F728" s="0" t="s">
        <v>23</v>
      </c>
      <c r="G728" s="16" t="n">
        <v>53.13</v>
      </c>
      <c r="H728" s="0" t="n">
        <v>6</v>
      </c>
      <c r="I728" s="16" t="n">
        <f aca="false">G728*H728*0.05</f>
        <v>15.939</v>
      </c>
      <c r="J728" s="16" t="n">
        <f aca="false">G728*H728*1.05</f>
        <v>334.719</v>
      </c>
      <c r="K728" s="17" t="n">
        <v>43529</v>
      </c>
      <c r="L728" s="14" t="s">
        <v>102</v>
      </c>
      <c r="M728" s="14" t="s">
        <v>34</v>
      </c>
      <c r="N728" s="16" t="n">
        <f aca="false">G728*H728</f>
        <v>318.78</v>
      </c>
      <c r="O728" s="18" t="n">
        <v>4.761904762</v>
      </c>
      <c r="P728" s="16" t="n">
        <f aca="false">I728</f>
        <v>15.939</v>
      </c>
      <c r="Q728" s="19" t="n">
        <v>7.3</v>
      </c>
      <c r="R728" s="0" t="str">
        <f aca="false">TEXT(K728,"mmm yyyy")</f>
        <v>Mar 2019</v>
      </c>
      <c r="S728" s="14" t="n">
        <f aca="false">HOUR(TIMEVALUE(L728))</f>
        <v>15</v>
      </c>
      <c r="T728" s="0" t="str">
        <f aca="false">IF(S728&lt;12,"Morning",IF(S728&lt;17,"Afternoon","Evening"))</f>
        <v>Afternoon</v>
      </c>
      <c r="U728" s="16" t="n">
        <f aca="false">G728*H728*0.05</f>
        <v>15.939</v>
      </c>
    </row>
    <row r="729" customFormat="false" ht="15" hidden="false" customHeight="false" outlineLevel="0" collapsed="false">
      <c r="A729" s="0" t="s">
        <v>1213</v>
      </c>
      <c r="B729" s="0" t="s">
        <v>29</v>
      </c>
      <c r="C729" s="0" t="s">
        <v>56</v>
      </c>
      <c r="D729" s="0" t="s">
        <v>21</v>
      </c>
      <c r="E729" s="0" t="s">
        <v>57</v>
      </c>
      <c r="F729" s="0" t="s">
        <v>37</v>
      </c>
      <c r="G729" s="16" t="n">
        <v>86.53</v>
      </c>
      <c r="H729" s="0" t="n">
        <v>4</v>
      </c>
      <c r="I729" s="16" t="n">
        <f aca="false">G729*H729*0.05</f>
        <v>17.306</v>
      </c>
      <c r="J729" s="16" t="n">
        <f aca="false">G729*H729*1.05</f>
        <v>363.426</v>
      </c>
      <c r="K729" s="17" t="n">
        <v>43529</v>
      </c>
      <c r="L729" s="14" t="s">
        <v>1214</v>
      </c>
      <c r="M729" s="14" t="s">
        <v>34</v>
      </c>
      <c r="N729" s="16" t="n">
        <f aca="false">G729*H729</f>
        <v>346.12</v>
      </c>
      <c r="O729" s="18" t="n">
        <v>4.761904762</v>
      </c>
      <c r="P729" s="16" t="n">
        <f aca="false">I729</f>
        <v>17.306</v>
      </c>
      <c r="Q729" s="19" t="n">
        <v>7.6</v>
      </c>
      <c r="R729" s="0" t="str">
        <f aca="false">TEXT(K729,"mmm yyyy")</f>
        <v>Mar 2019</v>
      </c>
      <c r="S729" s="14" t="n">
        <f aca="false">HOUR(TIMEVALUE(L729))</f>
        <v>12</v>
      </c>
      <c r="T729" s="0" t="str">
        <f aca="false">IF(S729&lt;12,"Morning",IF(S729&lt;17,"Afternoon","Evening"))</f>
        <v>Afternoon</v>
      </c>
      <c r="U729" s="16" t="n">
        <f aca="false">G729*H729*0.05</f>
        <v>17.306</v>
      </c>
    </row>
    <row r="730" customFormat="false" ht="15" hidden="false" customHeight="false" outlineLevel="0" collapsed="false">
      <c r="A730" s="0" t="s">
        <v>1215</v>
      </c>
      <c r="B730" s="0" t="s">
        <v>33</v>
      </c>
      <c r="C730" s="0" t="s">
        <v>65</v>
      </c>
      <c r="D730" s="0" t="s">
        <v>22</v>
      </c>
      <c r="E730" s="0" t="s">
        <v>57</v>
      </c>
      <c r="F730" s="0" t="s">
        <v>37</v>
      </c>
      <c r="G730" s="16" t="n">
        <v>94.83</v>
      </c>
      <c r="H730" s="0" t="n">
        <v>5</v>
      </c>
      <c r="I730" s="16" t="n">
        <f aca="false">G730*H730*0.05</f>
        <v>23.7075</v>
      </c>
      <c r="J730" s="16" t="n">
        <f aca="false">G730*H730*1.05</f>
        <v>497.8575</v>
      </c>
      <c r="K730" s="17" t="n">
        <v>43529</v>
      </c>
      <c r="L730" s="14" t="s">
        <v>1216</v>
      </c>
      <c r="M730" s="14" t="s">
        <v>34</v>
      </c>
      <c r="N730" s="16" t="n">
        <f aca="false">G730*H730</f>
        <v>474.15</v>
      </c>
      <c r="O730" s="18" t="n">
        <v>4.761904762</v>
      </c>
      <c r="P730" s="16" t="n">
        <f aca="false">I730</f>
        <v>23.7075</v>
      </c>
      <c r="Q730" s="19" t="n">
        <v>6.4</v>
      </c>
      <c r="R730" s="0" t="str">
        <f aca="false">TEXT(K730,"mmm yyyy")</f>
        <v>Mar 2019</v>
      </c>
      <c r="S730" s="14" t="n">
        <f aca="false">HOUR(TIMEVALUE(L730))</f>
        <v>19</v>
      </c>
      <c r="T730" s="0" t="str">
        <f aca="false">IF(S730&lt;12,"Morning",IF(S730&lt;17,"Afternoon","Evening"))</f>
        <v>Evening</v>
      </c>
      <c r="U730" s="16" t="n">
        <f aca="false">G730*H730*0.05</f>
        <v>23.7075</v>
      </c>
    </row>
    <row r="731" customFormat="false" ht="15" hidden="false" customHeight="false" outlineLevel="0" collapsed="false">
      <c r="A731" s="0" t="s">
        <v>1217</v>
      </c>
      <c r="B731" s="0" t="s">
        <v>33</v>
      </c>
      <c r="C731" s="0" t="s">
        <v>65</v>
      </c>
      <c r="D731" s="0" t="s">
        <v>21</v>
      </c>
      <c r="E731" s="0" t="s">
        <v>60</v>
      </c>
      <c r="F731" s="0" t="s">
        <v>23</v>
      </c>
      <c r="G731" s="16" t="n">
        <v>23.32</v>
      </c>
      <c r="H731" s="0" t="n">
        <v>9</v>
      </c>
      <c r="I731" s="16" t="n">
        <f aca="false">G731*H731*0.05</f>
        <v>10.494</v>
      </c>
      <c r="J731" s="16" t="n">
        <f aca="false">G731*H731*1.05</f>
        <v>220.374</v>
      </c>
      <c r="K731" s="17" t="n">
        <v>43529</v>
      </c>
      <c r="L731" s="14" t="s">
        <v>1218</v>
      </c>
      <c r="M731" s="14" t="s">
        <v>34</v>
      </c>
      <c r="N731" s="16" t="n">
        <f aca="false">G731*H731</f>
        <v>209.88</v>
      </c>
      <c r="O731" s="18" t="n">
        <v>4.761904762</v>
      </c>
      <c r="P731" s="16" t="n">
        <f aca="false">I731</f>
        <v>10.494</v>
      </c>
      <c r="Q731" s="19" t="n">
        <v>6.9</v>
      </c>
      <c r="R731" s="0" t="str">
        <f aca="false">TEXT(K731,"mmm yyyy")</f>
        <v>Mar 2019</v>
      </c>
      <c r="S731" s="14" t="n">
        <f aca="false">HOUR(TIMEVALUE(L731))</f>
        <v>15</v>
      </c>
      <c r="T731" s="0" t="str">
        <f aca="false">IF(S731&lt;12,"Morning",IF(S731&lt;17,"Afternoon","Evening"))</f>
        <v>Afternoon</v>
      </c>
      <c r="U731" s="16" t="n">
        <f aca="false">G731*H731*0.05</f>
        <v>10.494</v>
      </c>
    </row>
    <row r="732" customFormat="false" ht="15" hidden="false" customHeight="false" outlineLevel="0" collapsed="false">
      <c r="A732" s="0" t="s">
        <v>1219</v>
      </c>
      <c r="B732" s="0" t="s">
        <v>33</v>
      </c>
      <c r="C732" s="0" t="s">
        <v>65</v>
      </c>
      <c r="D732" s="0" t="s">
        <v>22</v>
      </c>
      <c r="E732" s="0" t="s">
        <v>60</v>
      </c>
      <c r="F732" s="0" t="s">
        <v>37</v>
      </c>
      <c r="G732" s="16" t="n">
        <v>53.25</v>
      </c>
      <c r="H732" s="0" t="n">
        <v>2</v>
      </c>
      <c r="I732" s="16" t="n">
        <f aca="false">G732*H732*0.05</f>
        <v>5.325</v>
      </c>
      <c r="J732" s="16" t="n">
        <f aca="false">G732*H732*1.05</f>
        <v>111.825</v>
      </c>
      <c r="K732" s="17" t="n">
        <v>43529</v>
      </c>
      <c r="L732" s="14" t="s">
        <v>332</v>
      </c>
      <c r="M732" s="14" t="s">
        <v>26</v>
      </c>
      <c r="N732" s="16" t="n">
        <f aca="false">G732*H732</f>
        <v>106.5</v>
      </c>
      <c r="O732" s="18" t="n">
        <v>4.761904762</v>
      </c>
      <c r="P732" s="16" t="n">
        <f aca="false">I732</f>
        <v>5.325</v>
      </c>
      <c r="Q732" s="19" t="n">
        <v>6</v>
      </c>
      <c r="R732" s="0" t="str">
        <f aca="false">TEXT(K732,"mmm yyyy")</f>
        <v>Mar 2019</v>
      </c>
      <c r="S732" s="14" t="n">
        <f aca="false">HOUR(TIMEVALUE(L732))</f>
        <v>17</v>
      </c>
      <c r="T732" s="0" t="str">
        <f aca="false">IF(S732&lt;12,"Morning",IF(S732&lt;17,"Afternoon","Evening"))</f>
        <v>Evening</v>
      </c>
      <c r="U732" s="16" t="n">
        <f aca="false">G732*H732*0.05</f>
        <v>5.325</v>
      </c>
    </row>
    <row r="733" customFormat="false" ht="15" hidden="false" customHeight="false" outlineLevel="0" collapsed="false">
      <c r="A733" s="0" t="s">
        <v>1220</v>
      </c>
      <c r="B733" s="0" t="s">
        <v>33</v>
      </c>
      <c r="C733" s="0" t="s">
        <v>65</v>
      </c>
      <c r="D733" s="0" t="s">
        <v>22</v>
      </c>
      <c r="E733" s="0" t="s">
        <v>57</v>
      </c>
      <c r="F733" s="0" t="s">
        <v>31</v>
      </c>
      <c r="G733" s="16" t="n">
        <v>47.3</v>
      </c>
      <c r="H733" s="0" t="n">
        <v>1</v>
      </c>
      <c r="I733" s="16" t="n">
        <f aca="false">G733*H733*0.05</f>
        <v>2.365</v>
      </c>
      <c r="J733" s="16" t="n">
        <f aca="false">G733*H733*1.05</f>
        <v>49.665</v>
      </c>
      <c r="K733" s="17" t="n">
        <v>43529</v>
      </c>
      <c r="L733" s="14" t="s">
        <v>1221</v>
      </c>
      <c r="M733" s="14" t="s">
        <v>26</v>
      </c>
      <c r="N733" s="16" t="n">
        <f aca="false">G733*H733</f>
        <v>47.3</v>
      </c>
      <c r="O733" s="18" t="n">
        <v>4.761904762</v>
      </c>
      <c r="P733" s="16" t="n">
        <f aca="false">I733</f>
        <v>2.365</v>
      </c>
      <c r="Q733" s="19" t="n">
        <v>6.1</v>
      </c>
      <c r="R733" s="0" t="str">
        <f aca="false">TEXT(K733,"mmm yyyy")</f>
        <v>Mar 2019</v>
      </c>
      <c r="S733" s="14" t="n">
        <f aca="false">HOUR(TIMEVALUE(L733))</f>
        <v>14</v>
      </c>
      <c r="T733" s="0" t="str">
        <f aca="false">IF(S733&lt;12,"Morning",IF(S733&lt;17,"Afternoon","Evening"))</f>
        <v>Afternoon</v>
      </c>
      <c r="U733" s="16" t="n">
        <f aca="false">G733*H733*0.05</f>
        <v>2.365</v>
      </c>
    </row>
    <row r="734" customFormat="false" ht="15" hidden="false" customHeight="false" outlineLevel="0" collapsed="false">
      <c r="A734" s="0" t="s">
        <v>1222</v>
      </c>
      <c r="B734" s="0" t="s">
        <v>25</v>
      </c>
      <c r="C734" s="0" t="s">
        <v>68</v>
      </c>
      <c r="D734" s="0" t="s">
        <v>21</v>
      </c>
      <c r="E734" s="0" t="s">
        <v>60</v>
      </c>
      <c r="F734" s="0" t="s">
        <v>23</v>
      </c>
      <c r="G734" s="16" t="n">
        <v>55.29</v>
      </c>
      <c r="H734" s="0" t="n">
        <v>7</v>
      </c>
      <c r="I734" s="16" t="n">
        <f aca="false">G734*H734*0.05</f>
        <v>19.3515</v>
      </c>
      <c r="J734" s="16" t="n">
        <f aca="false">G734*H734*1.05</f>
        <v>406.3815</v>
      </c>
      <c r="K734" s="17" t="n">
        <v>43529</v>
      </c>
      <c r="L734" s="14" t="s">
        <v>1223</v>
      </c>
      <c r="M734" s="14" t="s">
        <v>30</v>
      </c>
      <c r="N734" s="16" t="n">
        <f aca="false">G734*H734</f>
        <v>387.03</v>
      </c>
      <c r="O734" s="18" t="n">
        <v>4.761904762</v>
      </c>
      <c r="P734" s="16" t="n">
        <f aca="false">I734</f>
        <v>19.3515</v>
      </c>
      <c r="Q734" s="19" t="n">
        <v>7.2</v>
      </c>
      <c r="R734" s="0" t="str">
        <f aca="false">TEXT(K734,"mmm yyyy")</f>
        <v>Mar 2019</v>
      </c>
      <c r="S734" s="14" t="n">
        <f aca="false">HOUR(TIMEVALUE(L734))</f>
        <v>12</v>
      </c>
      <c r="T734" s="0" t="str">
        <f aca="false">IF(S734&lt;12,"Morning",IF(S734&lt;17,"Afternoon","Evening"))</f>
        <v>Afternoon</v>
      </c>
      <c r="U734" s="16" t="n">
        <f aca="false">G734*H734*0.05</f>
        <v>19.3515</v>
      </c>
    </row>
    <row r="735" customFormat="false" ht="15" hidden="false" customHeight="false" outlineLevel="0" collapsed="false">
      <c r="A735" s="0" t="s">
        <v>1224</v>
      </c>
      <c r="B735" s="0" t="s">
        <v>33</v>
      </c>
      <c r="C735" s="0" t="s">
        <v>65</v>
      </c>
      <c r="D735" s="0" t="s">
        <v>21</v>
      </c>
      <c r="E735" s="0" t="s">
        <v>57</v>
      </c>
      <c r="F735" s="0" t="s">
        <v>36</v>
      </c>
      <c r="G735" s="16" t="n">
        <v>16.44</v>
      </c>
      <c r="H735" s="0" t="n">
        <v>4</v>
      </c>
      <c r="I735" s="16" t="n">
        <f aca="false">G735*H735*0.05</f>
        <v>3.288</v>
      </c>
      <c r="J735" s="16" t="n">
        <f aca="false">G735*H735*1.05</f>
        <v>69.048</v>
      </c>
      <c r="K735" s="17" t="n">
        <v>43529</v>
      </c>
      <c r="L735" s="14" t="s">
        <v>433</v>
      </c>
      <c r="M735" s="14" t="s">
        <v>30</v>
      </c>
      <c r="N735" s="16" t="n">
        <f aca="false">G735*H735</f>
        <v>65.76</v>
      </c>
      <c r="O735" s="18" t="n">
        <v>4.761904762</v>
      </c>
      <c r="P735" s="16" t="n">
        <f aca="false">I735</f>
        <v>3.288</v>
      </c>
      <c r="Q735" s="19" t="n">
        <v>8.7</v>
      </c>
      <c r="R735" s="0" t="str">
        <f aca="false">TEXT(K735,"mmm yyyy")</f>
        <v>Mar 2019</v>
      </c>
      <c r="S735" s="14" t="n">
        <f aca="false">HOUR(TIMEVALUE(L735))</f>
        <v>13</v>
      </c>
      <c r="T735" s="0" t="str">
        <f aca="false">IF(S735&lt;12,"Morning",IF(S735&lt;17,"Afternoon","Evening"))</f>
        <v>Afternoon</v>
      </c>
      <c r="U735" s="16" t="n">
        <f aca="false">G735*H735*0.05</f>
        <v>3.288</v>
      </c>
    </row>
    <row r="736" customFormat="false" ht="15" hidden="false" customHeight="false" outlineLevel="0" collapsed="false">
      <c r="A736" s="0" t="s">
        <v>1225</v>
      </c>
      <c r="B736" s="0" t="s">
        <v>33</v>
      </c>
      <c r="C736" s="0" t="s">
        <v>65</v>
      </c>
      <c r="D736" s="0" t="s">
        <v>21</v>
      </c>
      <c r="E736" s="0" t="s">
        <v>57</v>
      </c>
      <c r="F736" s="0" t="s">
        <v>35</v>
      </c>
      <c r="G736" s="16" t="n">
        <v>89.15</v>
      </c>
      <c r="H736" s="0" t="n">
        <v>6</v>
      </c>
      <c r="I736" s="16" t="n">
        <f aca="false">G736*H736*0.05</f>
        <v>26.745</v>
      </c>
      <c r="J736" s="16" t="n">
        <f aca="false">G736*H736*1.05</f>
        <v>561.645</v>
      </c>
      <c r="K736" s="17" t="n">
        <v>43529</v>
      </c>
      <c r="L736" s="14" t="s">
        <v>1226</v>
      </c>
      <c r="M736" s="14" t="s">
        <v>34</v>
      </c>
      <c r="N736" s="16" t="n">
        <f aca="false">G736*H736</f>
        <v>534.9</v>
      </c>
      <c r="O736" s="18" t="n">
        <v>4.761904762</v>
      </c>
      <c r="P736" s="16" t="n">
        <f aca="false">I736</f>
        <v>26.745</v>
      </c>
      <c r="Q736" s="19" t="n">
        <v>6.7</v>
      </c>
      <c r="R736" s="0" t="str">
        <f aca="false">TEXT(K736,"mmm yyyy")</f>
        <v>Mar 2019</v>
      </c>
      <c r="S736" s="14" t="n">
        <f aca="false">HOUR(TIMEVALUE(L736))</f>
        <v>14</v>
      </c>
      <c r="T736" s="0" t="str">
        <f aca="false">IF(S736&lt;12,"Morning",IF(S736&lt;17,"Afternoon","Evening"))</f>
        <v>Afternoon</v>
      </c>
      <c r="U736" s="16" t="n">
        <f aca="false">G736*H736*0.05</f>
        <v>26.745</v>
      </c>
    </row>
    <row r="737" customFormat="false" ht="15" hidden="false" customHeight="false" outlineLevel="0" collapsed="false">
      <c r="A737" s="0" t="s">
        <v>1227</v>
      </c>
      <c r="B737" s="0" t="s">
        <v>33</v>
      </c>
      <c r="C737" s="0" t="s">
        <v>65</v>
      </c>
      <c r="D737" s="0" t="s">
        <v>22</v>
      </c>
      <c r="E737" s="0" t="s">
        <v>57</v>
      </c>
      <c r="F737" s="0" t="s">
        <v>36</v>
      </c>
      <c r="G737" s="16" t="n">
        <v>88.22</v>
      </c>
      <c r="H737" s="0" t="n">
        <v>6</v>
      </c>
      <c r="I737" s="16" t="n">
        <f aca="false">G737*H737*0.05</f>
        <v>26.466</v>
      </c>
      <c r="J737" s="16" t="n">
        <f aca="false">G737*H737*1.05</f>
        <v>555.786</v>
      </c>
      <c r="K737" s="17" t="n">
        <v>43529</v>
      </c>
      <c r="L737" s="14" t="s">
        <v>703</v>
      </c>
      <c r="M737" s="14" t="s">
        <v>34</v>
      </c>
      <c r="N737" s="16" t="n">
        <f aca="false">G737*H737</f>
        <v>529.32</v>
      </c>
      <c r="O737" s="18" t="n">
        <v>4.761904762</v>
      </c>
      <c r="P737" s="16" t="n">
        <f aca="false">I737</f>
        <v>26.466</v>
      </c>
      <c r="Q737" s="19" t="n">
        <v>6.6</v>
      </c>
      <c r="R737" s="0" t="str">
        <f aca="false">TEXT(K737,"mmm yyyy")</f>
        <v>Mar 2019</v>
      </c>
      <c r="S737" s="14" t="n">
        <f aca="false">HOUR(TIMEVALUE(L737))</f>
        <v>19</v>
      </c>
      <c r="T737" s="0" t="str">
        <f aca="false">IF(S737&lt;12,"Morning",IF(S737&lt;17,"Afternoon","Evening"))</f>
        <v>Evening</v>
      </c>
      <c r="U737" s="16" t="n">
        <f aca="false">G737*H737*0.05</f>
        <v>26.466</v>
      </c>
    </row>
    <row r="738" customFormat="false" ht="15" hidden="false" customHeight="false" outlineLevel="0" collapsed="false">
      <c r="A738" s="0" t="s">
        <v>1228</v>
      </c>
      <c r="B738" s="0" t="s">
        <v>33</v>
      </c>
      <c r="C738" s="0" t="s">
        <v>65</v>
      </c>
      <c r="D738" s="0" t="s">
        <v>21</v>
      </c>
      <c r="E738" s="0" t="s">
        <v>57</v>
      </c>
      <c r="F738" s="0" t="s">
        <v>31</v>
      </c>
      <c r="G738" s="16" t="n">
        <v>25.57</v>
      </c>
      <c r="H738" s="0" t="n">
        <v>8</v>
      </c>
      <c r="I738" s="16" t="n">
        <f aca="false">G738*H738*0.05</f>
        <v>10.228</v>
      </c>
      <c r="J738" s="16" t="n">
        <f aca="false">G738*H738*1.05</f>
        <v>214.788</v>
      </c>
      <c r="K738" s="17" t="n">
        <v>43529</v>
      </c>
      <c r="L738" s="14" t="s">
        <v>787</v>
      </c>
      <c r="M738" s="14" t="s">
        <v>34</v>
      </c>
      <c r="N738" s="16" t="n">
        <f aca="false">G738*H738</f>
        <v>204.56</v>
      </c>
      <c r="O738" s="18" t="n">
        <v>4.761904762</v>
      </c>
      <c r="P738" s="16" t="n">
        <f aca="false">I738</f>
        <v>10.228</v>
      </c>
      <c r="Q738" s="19" t="n">
        <v>8.9</v>
      </c>
      <c r="R738" s="0" t="str">
        <f aca="false">TEXT(K738,"mmm yyyy")</f>
        <v>Mar 2019</v>
      </c>
      <c r="S738" s="14" t="n">
        <f aca="false">HOUR(TIMEVALUE(L738))</f>
        <v>11</v>
      </c>
      <c r="T738" s="0" t="str">
        <f aca="false">IF(S738&lt;12,"Morning",IF(S738&lt;17,"Afternoon","Evening"))</f>
        <v>Morning</v>
      </c>
      <c r="U738" s="16" t="n">
        <f aca="false">G738*H738*0.05</f>
        <v>10.228</v>
      </c>
    </row>
    <row r="739" customFormat="false" ht="15" hidden="false" customHeight="false" outlineLevel="0" collapsed="false">
      <c r="A739" s="0" t="s">
        <v>1229</v>
      </c>
      <c r="B739" s="0" t="s">
        <v>33</v>
      </c>
      <c r="C739" s="0" t="s">
        <v>65</v>
      </c>
      <c r="D739" s="0" t="s">
        <v>22</v>
      </c>
      <c r="E739" s="0" t="s">
        <v>60</v>
      </c>
      <c r="F739" s="0" t="s">
        <v>36</v>
      </c>
      <c r="G739" s="16" t="n">
        <v>29.96</v>
      </c>
      <c r="H739" s="0" t="n">
        <v>1</v>
      </c>
      <c r="I739" s="16" t="n">
        <f aca="false">G739*H739*0.05</f>
        <v>1.498</v>
      </c>
      <c r="J739" s="16" t="n">
        <f aca="false">G739*H739*1.05</f>
        <v>31.458</v>
      </c>
      <c r="K739" s="17" t="n">
        <v>43530</v>
      </c>
      <c r="L739" s="14" t="s">
        <v>1230</v>
      </c>
      <c r="M739" s="14" t="s">
        <v>30</v>
      </c>
      <c r="N739" s="16" t="n">
        <f aca="false">G739*H739</f>
        <v>29.96</v>
      </c>
      <c r="O739" s="18" t="n">
        <v>4.761904762</v>
      </c>
      <c r="P739" s="16" t="n">
        <f aca="false">I739</f>
        <v>1.498</v>
      </c>
      <c r="Q739" s="19" t="n">
        <v>9.3</v>
      </c>
      <c r="R739" s="0" t="str">
        <f aca="false">TEXT(K739,"mmm yyyy")</f>
        <v>Mar 2019</v>
      </c>
      <c r="S739" s="14" t="n">
        <f aca="false">HOUR(TIMEVALUE(L739))</f>
        <v>10</v>
      </c>
      <c r="T739" s="0" t="str">
        <f aca="false">IF(S739&lt;12,"Morning",IF(S739&lt;17,"Afternoon","Evening"))</f>
        <v>Morning</v>
      </c>
      <c r="U739" s="16" t="n">
        <f aca="false">G739*H739*0.05</f>
        <v>1.498</v>
      </c>
    </row>
    <row r="740" customFormat="false" ht="15" hidden="false" customHeight="false" outlineLevel="0" collapsed="false">
      <c r="A740" s="0" t="s">
        <v>1231</v>
      </c>
      <c r="B740" s="0" t="s">
        <v>33</v>
      </c>
      <c r="C740" s="0" t="s">
        <v>65</v>
      </c>
      <c r="D740" s="0" t="s">
        <v>22</v>
      </c>
      <c r="E740" s="0" t="s">
        <v>57</v>
      </c>
      <c r="F740" s="0" t="s">
        <v>23</v>
      </c>
      <c r="G740" s="16" t="n">
        <v>59.47</v>
      </c>
      <c r="H740" s="0" t="n">
        <v>3</v>
      </c>
      <c r="I740" s="16" t="n">
        <f aca="false">G740*H740*0.05</f>
        <v>8.9205</v>
      </c>
      <c r="J740" s="16" t="n">
        <f aca="false">G740*H740*1.05</f>
        <v>187.3305</v>
      </c>
      <c r="K740" s="17" t="n">
        <v>43530</v>
      </c>
      <c r="L740" s="14" t="s">
        <v>958</v>
      </c>
      <c r="M740" s="14" t="s">
        <v>30</v>
      </c>
      <c r="N740" s="16" t="n">
        <f aca="false">G740*H740</f>
        <v>178.41</v>
      </c>
      <c r="O740" s="18" t="n">
        <v>4.761904762</v>
      </c>
      <c r="P740" s="16" t="n">
        <f aca="false">I740</f>
        <v>8.9205</v>
      </c>
      <c r="Q740" s="19" t="n">
        <v>8</v>
      </c>
      <c r="R740" s="0" t="str">
        <f aca="false">TEXT(K740,"mmm yyyy")</f>
        <v>Mar 2019</v>
      </c>
      <c r="S740" s="14" t="n">
        <f aca="false">HOUR(TIMEVALUE(L740))</f>
        <v>19</v>
      </c>
      <c r="T740" s="0" t="str">
        <f aca="false">IF(S740&lt;12,"Morning",IF(S740&lt;17,"Afternoon","Evening"))</f>
        <v>Evening</v>
      </c>
      <c r="U740" s="16" t="n">
        <f aca="false">G740*H740*0.05</f>
        <v>8.9205</v>
      </c>
    </row>
    <row r="741" customFormat="false" ht="15" hidden="false" customHeight="false" outlineLevel="0" collapsed="false">
      <c r="A741" s="0" t="s">
        <v>1232</v>
      </c>
      <c r="B741" s="0" t="s">
        <v>33</v>
      </c>
      <c r="C741" s="0" t="s">
        <v>65</v>
      </c>
      <c r="D741" s="0" t="s">
        <v>22</v>
      </c>
      <c r="E741" s="0" t="s">
        <v>60</v>
      </c>
      <c r="F741" s="0" t="s">
        <v>35</v>
      </c>
      <c r="G741" s="16" t="n">
        <v>10.09</v>
      </c>
      <c r="H741" s="0" t="n">
        <v>4</v>
      </c>
      <c r="I741" s="16" t="n">
        <f aca="false">G741*H741*0.05</f>
        <v>2.018</v>
      </c>
      <c r="J741" s="16" t="n">
        <f aca="false">G741*H741*1.05</f>
        <v>42.378</v>
      </c>
      <c r="K741" s="17" t="n">
        <v>43530</v>
      </c>
      <c r="L741" s="14" t="s">
        <v>855</v>
      </c>
      <c r="M741" s="14" t="s">
        <v>30</v>
      </c>
      <c r="N741" s="16" t="n">
        <f aca="false">G741*H741</f>
        <v>40.36</v>
      </c>
      <c r="O741" s="18" t="n">
        <v>4.761904762</v>
      </c>
      <c r="P741" s="16" t="n">
        <f aca="false">I741</f>
        <v>2.018</v>
      </c>
      <c r="Q741" s="19" t="n">
        <v>6.8</v>
      </c>
      <c r="R741" s="0" t="str">
        <f aca="false">TEXT(K741,"mmm yyyy")</f>
        <v>Mar 2019</v>
      </c>
      <c r="S741" s="14" t="n">
        <f aca="false">HOUR(TIMEVALUE(L741))</f>
        <v>16</v>
      </c>
      <c r="T741" s="0" t="str">
        <f aca="false">IF(S741&lt;12,"Morning",IF(S741&lt;17,"Afternoon","Evening"))</f>
        <v>Afternoon</v>
      </c>
      <c r="U741" s="16" t="n">
        <f aca="false">G741*H741*0.05</f>
        <v>2.018</v>
      </c>
    </row>
    <row r="742" customFormat="false" ht="15" hidden="false" customHeight="false" outlineLevel="0" collapsed="false">
      <c r="A742" s="0" t="s">
        <v>1233</v>
      </c>
      <c r="B742" s="0" t="s">
        <v>29</v>
      </c>
      <c r="C742" s="0" t="s">
        <v>56</v>
      </c>
      <c r="D742" s="0" t="s">
        <v>22</v>
      </c>
      <c r="E742" s="0" t="s">
        <v>57</v>
      </c>
      <c r="F742" s="0" t="s">
        <v>27</v>
      </c>
      <c r="G742" s="16" t="n">
        <v>32.97</v>
      </c>
      <c r="H742" s="0" t="n">
        <v>2</v>
      </c>
      <c r="I742" s="16" t="n">
        <f aca="false">G742*H742*0.05</f>
        <v>3.297</v>
      </c>
      <c r="J742" s="16" t="n">
        <f aca="false">G742*H742*1.05</f>
        <v>69.237</v>
      </c>
      <c r="K742" s="17" t="n">
        <v>43530</v>
      </c>
      <c r="L742" s="14" t="s">
        <v>1234</v>
      </c>
      <c r="M742" s="14" t="s">
        <v>26</v>
      </c>
      <c r="N742" s="16" t="n">
        <f aca="false">G742*H742</f>
        <v>65.94</v>
      </c>
      <c r="O742" s="18" t="n">
        <v>4.761904762</v>
      </c>
      <c r="P742" s="16" t="n">
        <f aca="false">I742</f>
        <v>3.297</v>
      </c>
      <c r="Q742" s="19" t="n">
        <v>5.5</v>
      </c>
      <c r="R742" s="0" t="str">
        <f aca="false">TEXT(K742,"mmm yyyy")</f>
        <v>Mar 2019</v>
      </c>
      <c r="S742" s="14" t="n">
        <f aca="false">HOUR(TIMEVALUE(L742))</f>
        <v>14</v>
      </c>
      <c r="T742" s="0" t="str">
        <f aca="false">IF(S742&lt;12,"Morning",IF(S742&lt;17,"Afternoon","Evening"))</f>
        <v>Afternoon</v>
      </c>
      <c r="U742" s="16" t="n">
        <f aca="false">G742*H742*0.05</f>
        <v>3.297</v>
      </c>
    </row>
    <row r="743" customFormat="false" ht="15" hidden="false" customHeight="false" outlineLevel="0" collapsed="false">
      <c r="A743" s="0" t="s">
        <v>1235</v>
      </c>
      <c r="B743" s="0" t="s">
        <v>29</v>
      </c>
      <c r="C743" s="0" t="s">
        <v>56</v>
      </c>
      <c r="D743" s="0" t="s">
        <v>21</v>
      </c>
      <c r="E743" s="0" t="s">
        <v>57</v>
      </c>
      <c r="F743" s="0" t="s">
        <v>37</v>
      </c>
      <c r="G743" s="16" t="n">
        <v>76.53</v>
      </c>
      <c r="H743" s="0" t="n">
        <v>9</v>
      </c>
      <c r="I743" s="16" t="n">
        <f aca="false">G743*H743*0.05</f>
        <v>34.4385</v>
      </c>
      <c r="J743" s="16" t="n">
        <f aca="false">G743*H743*1.05</f>
        <v>723.2085</v>
      </c>
      <c r="K743" s="17" t="n">
        <v>43530</v>
      </c>
      <c r="L743" s="14" t="s">
        <v>535</v>
      </c>
      <c r="M743" s="14" t="s">
        <v>34</v>
      </c>
      <c r="N743" s="16" t="n">
        <f aca="false">G743*H743</f>
        <v>688.77</v>
      </c>
      <c r="O743" s="18" t="n">
        <v>4.761904762</v>
      </c>
      <c r="P743" s="16" t="n">
        <f aca="false">I743</f>
        <v>34.4385</v>
      </c>
      <c r="Q743" s="19" t="n">
        <v>8.4</v>
      </c>
      <c r="R743" s="0" t="str">
        <f aca="false">TEXT(K743,"mmm yyyy")</f>
        <v>Mar 2019</v>
      </c>
      <c r="S743" s="14" t="n">
        <f aca="false">HOUR(TIMEVALUE(L743))</f>
        <v>11</v>
      </c>
      <c r="T743" s="0" t="str">
        <f aca="false">IF(S743&lt;12,"Morning",IF(S743&lt;17,"Afternoon","Evening"))</f>
        <v>Morning</v>
      </c>
      <c r="U743" s="16" t="n">
        <f aca="false">G743*H743*0.05</f>
        <v>34.4385</v>
      </c>
    </row>
    <row r="744" customFormat="false" ht="15" hidden="false" customHeight="false" outlineLevel="0" collapsed="false">
      <c r="A744" s="0" t="s">
        <v>1236</v>
      </c>
      <c r="B744" s="0" t="s">
        <v>25</v>
      </c>
      <c r="C744" s="0" t="s">
        <v>68</v>
      </c>
      <c r="D744" s="0" t="s">
        <v>22</v>
      </c>
      <c r="E744" s="0" t="s">
        <v>57</v>
      </c>
      <c r="F744" s="0" t="s">
        <v>23</v>
      </c>
      <c r="G744" s="16" t="n">
        <v>80.62</v>
      </c>
      <c r="H744" s="0" t="n">
        <v>1</v>
      </c>
      <c r="I744" s="16" t="n">
        <f aca="false">G744*H744*0.05</f>
        <v>4.031</v>
      </c>
      <c r="J744" s="16" t="n">
        <f aca="false">G744*H744*1.05</f>
        <v>84.651</v>
      </c>
      <c r="K744" s="17" t="n">
        <v>43530</v>
      </c>
      <c r="L744" s="14" t="s">
        <v>1237</v>
      </c>
      <c r="M744" s="14" t="s">
        <v>30</v>
      </c>
      <c r="N744" s="16" t="n">
        <f aca="false">G744*H744</f>
        <v>80.62</v>
      </c>
      <c r="O744" s="18" t="n">
        <v>4.761904762</v>
      </c>
      <c r="P744" s="16" t="n">
        <f aca="false">I744</f>
        <v>4.031</v>
      </c>
      <c r="Q744" s="19" t="n">
        <v>6.9</v>
      </c>
      <c r="R744" s="0" t="str">
        <f aca="false">TEXT(K744,"mmm yyyy")</f>
        <v>Mar 2019</v>
      </c>
      <c r="S744" s="14" t="n">
        <f aca="false">HOUR(TIMEVALUE(L744))</f>
        <v>20</v>
      </c>
      <c r="T744" s="0" t="str">
        <f aca="false">IF(S744&lt;12,"Morning",IF(S744&lt;17,"Afternoon","Evening"))</f>
        <v>Evening</v>
      </c>
      <c r="U744" s="16" t="n">
        <f aca="false">G744*H744*0.05</f>
        <v>4.031</v>
      </c>
    </row>
    <row r="745" customFormat="false" ht="15" hidden="false" customHeight="false" outlineLevel="0" collapsed="false">
      <c r="A745" s="0" t="s">
        <v>1238</v>
      </c>
      <c r="B745" s="0" t="s">
        <v>25</v>
      </c>
      <c r="C745" s="0" t="s">
        <v>68</v>
      </c>
      <c r="D745" s="0" t="s">
        <v>21</v>
      </c>
      <c r="E745" s="0" t="s">
        <v>57</v>
      </c>
      <c r="F745" s="0" t="s">
        <v>37</v>
      </c>
      <c r="G745" s="16" t="n">
        <v>50.62</v>
      </c>
      <c r="H745" s="0" t="n">
        <v>8</v>
      </c>
      <c r="I745" s="16" t="n">
        <f aca="false">G745*H745*0.05</f>
        <v>20.248</v>
      </c>
      <c r="J745" s="16" t="n">
        <f aca="false">G745*H745*1.05</f>
        <v>425.208</v>
      </c>
      <c r="K745" s="17" t="n">
        <v>43530</v>
      </c>
      <c r="L745" s="14" t="s">
        <v>699</v>
      </c>
      <c r="M745" s="14" t="s">
        <v>26</v>
      </c>
      <c r="N745" s="16" t="n">
        <f aca="false">G745*H745</f>
        <v>404.96</v>
      </c>
      <c r="O745" s="18" t="n">
        <v>4.761904762</v>
      </c>
      <c r="P745" s="16" t="n">
        <f aca="false">I745</f>
        <v>20.248</v>
      </c>
      <c r="Q745" s="19" t="n">
        <v>9.9</v>
      </c>
      <c r="R745" s="0" t="str">
        <f aca="false">TEXT(K745,"mmm yyyy")</f>
        <v>Mar 2019</v>
      </c>
      <c r="S745" s="14" t="n">
        <f aca="false">HOUR(TIMEVALUE(L745))</f>
        <v>14</v>
      </c>
      <c r="T745" s="0" t="str">
        <f aca="false">IF(S745&lt;12,"Morning",IF(S745&lt;17,"Afternoon","Evening"))</f>
        <v>Afternoon</v>
      </c>
      <c r="U745" s="16" t="n">
        <f aca="false">G745*H745*0.05</f>
        <v>20.248</v>
      </c>
    </row>
    <row r="746" customFormat="false" ht="15" hidden="false" customHeight="false" outlineLevel="0" collapsed="false">
      <c r="A746" s="0" t="s">
        <v>1239</v>
      </c>
      <c r="B746" s="0" t="s">
        <v>33</v>
      </c>
      <c r="C746" s="0" t="s">
        <v>65</v>
      </c>
      <c r="D746" s="0" t="s">
        <v>22</v>
      </c>
      <c r="E746" s="0" t="s">
        <v>57</v>
      </c>
      <c r="F746" s="0" t="s">
        <v>37</v>
      </c>
      <c r="G746" s="16" t="n">
        <v>48.19</v>
      </c>
      <c r="H746" s="0" t="n">
        <v>7</v>
      </c>
      <c r="I746" s="16" t="n">
        <f aca="false">G746*H746*0.05</f>
        <v>16.8665</v>
      </c>
      <c r="J746" s="16" t="n">
        <f aca="false">G746*H746*1.05</f>
        <v>354.1965</v>
      </c>
      <c r="K746" s="17" t="n">
        <v>43530</v>
      </c>
      <c r="L746" s="14" t="s">
        <v>1080</v>
      </c>
      <c r="M746" s="14" t="s">
        <v>26</v>
      </c>
      <c r="N746" s="16" t="n">
        <f aca="false">G746*H746</f>
        <v>337.33</v>
      </c>
      <c r="O746" s="18" t="n">
        <v>4.761904762</v>
      </c>
      <c r="P746" s="16" t="n">
        <f aca="false">I746</f>
        <v>16.8665</v>
      </c>
      <c r="Q746" s="19" t="n">
        <v>7</v>
      </c>
      <c r="R746" s="0" t="str">
        <f aca="false">TEXT(K746,"mmm yyyy")</f>
        <v>Mar 2019</v>
      </c>
      <c r="S746" s="14" t="n">
        <f aca="false">HOUR(TIMEVALUE(L746))</f>
        <v>11</v>
      </c>
      <c r="T746" s="0" t="str">
        <f aca="false">IF(S746&lt;12,"Morning",IF(S746&lt;17,"Afternoon","Evening"))</f>
        <v>Morning</v>
      </c>
      <c r="U746" s="16" t="n">
        <f aca="false">G746*H746*0.05</f>
        <v>16.8665</v>
      </c>
    </row>
    <row r="747" customFormat="false" ht="15" hidden="false" customHeight="false" outlineLevel="0" collapsed="false">
      <c r="A747" s="0" t="s">
        <v>1240</v>
      </c>
      <c r="B747" s="0" t="s">
        <v>25</v>
      </c>
      <c r="C747" s="0" t="s">
        <v>68</v>
      </c>
      <c r="D747" s="0" t="s">
        <v>21</v>
      </c>
      <c r="E747" s="0" t="s">
        <v>57</v>
      </c>
      <c r="F747" s="0" t="s">
        <v>31</v>
      </c>
      <c r="G747" s="16" t="n">
        <v>74.92</v>
      </c>
      <c r="H747" s="0" t="n">
        <v>1</v>
      </c>
      <c r="I747" s="16" t="n">
        <f aca="false">G747*H747*0.05</f>
        <v>3.746</v>
      </c>
      <c r="J747" s="16" t="n">
        <f aca="false">G747*H747*1.05</f>
        <v>78.666</v>
      </c>
      <c r="K747" s="17" t="n">
        <v>43530</v>
      </c>
      <c r="L747" s="14" t="s">
        <v>1241</v>
      </c>
      <c r="M747" s="14" t="s">
        <v>34</v>
      </c>
      <c r="N747" s="16" t="n">
        <f aca="false">G747*H747</f>
        <v>74.92</v>
      </c>
      <c r="O747" s="18" t="n">
        <v>4.761904762</v>
      </c>
      <c r="P747" s="16" t="n">
        <f aca="false">I747</f>
        <v>3.746</v>
      </c>
      <c r="Q747" s="19" t="n">
        <v>8.8</v>
      </c>
      <c r="R747" s="0" t="str">
        <f aca="false">TEXT(K747,"mmm yyyy")</f>
        <v>Mar 2019</v>
      </c>
      <c r="S747" s="14" t="n">
        <f aca="false">HOUR(TIMEVALUE(L747))</f>
        <v>19</v>
      </c>
      <c r="T747" s="0" t="str">
        <f aca="false">IF(S747&lt;12,"Morning",IF(S747&lt;17,"Afternoon","Evening"))</f>
        <v>Evening</v>
      </c>
      <c r="U747" s="16" t="n">
        <f aca="false">G747*H747*0.05</f>
        <v>3.746</v>
      </c>
    </row>
    <row r="748" customFormat="false" ht="15" hidden="false" customHeight="false" outlineLevel="0" collapsed="false">
      <c r="A748" s="0" t="s">
        <v>1242</v>
      </c>
      <c r="B748" s="0" t="s">
        <v>33</v>
      </c>
      <c r="C748" s="0" t="s">
        <v>65</v>
      </c>
      <c r="D748" s="0" t="s">
        <v>21</v>
      </c>
      <c r="E748" s="0" t="s">
        <v>60</v>
      </c>
      <c r="F748" s="0" t="s">
        <v>23</v>
      </c>
      <c r="G748" s="16" t="n">
        <v>54.48</v>
      </c>
      <c r="H748" s="0" t="n">
        <v>10</v>
      </c>
      <c r="I748" s="16" t="n">
        <f aca="false">G748*H748*0.05</f>
        <v>27.24</v>
      </c>
      <c r="J748" s="16" t="n">
        <f aca="false">G748*H748*1.05</f>
        <v>572.04</v>
      </c>
      <c r="K748" s="17" t="n">
        <v>43530</v>
      </c>
      <c r="L748" s="14" t="s">
        <v>1019</v>
      </c>
      <c r="M748" s="14" t="s">
        <v>34</v>
      </c>
      <c r="N748" s="16" t="n">
        <f aca="false">G748*H748</f>
        <v>544.8</v>
      </c>
      <c r="O748" s="18" t="n">
        <v>4.761904762</v>
      </c>
      <c r="P748" s="16" t="n">
        <f aca="false">I748</f>
        <v>27.24</v>
      </c>
      <c r="Q748" s="19" t="n">
        <v>8.6</v>
      </c>
      <c r="R748" s="0" t="str">
        <f aca="false">TEXT(K748,"mmm yyyy")</f>
        <v>Mar 2019</v>
      </c>
      <c r="S748" s="14" t="n">
        <f aca="false">HOUR(TIMEVALUE(L748))</f>
        <v>10</v>
      </c>
      <c r="T748" s="0" t="str">
        <f aca="false">IF(S748&lt;12,"Morning",IF(S748&lt;17,"Afternoon","Evening"))</f>
        <v>Morning</v>
      </c>
      <c r="U748" s="16" t="n">
        <f aca="false">G748*H748*0.05</f>
        <v>27.24</v>
      </c>
    </row>
    <row r="749" customFormat="false" ht="15" hidden="false" customHeight="false" outlineLevel="0" collapsed="false">
      <c r="A749" s="0" t="s">
        <v>1243</v>
      </c>
      <c r="B749" s="0" t="s">
        <v>25</v>
      </c>
      <c r="C749" s="0" t="s">
        <v>68</v>
      </c>
      <c r="D749" s="0" t="s">
        <v>21</v>
      </c>
      <c r="E749" s="0" t="s">
        <v>57</v>
      </c>
      <c r="F749" s="0" t="s">
        <v>36</v>
      </c>
      <c r="G749" s="16" t="n">
        <v>55.27</v>
      </c>
      <c r="H749" s="0" t="n">
        <v>2</v>
      </c>
      <c r="I749" s="16" t="n">
        <f aca="false">G749*H749*0.05</f>
        <v>5.527</v>
      </c>
      <c r="J749" s="16" t="n">
        <f aca="false">G749*H749*1.05</f>
        <v>116.067</v>
      </c>
      <c r="K749" s="17" t="n">
        <v>43530</v>
      </c>
      <c r="L749" s="14" t="s">
        <v>58</v>
      </c>
      <c r="M749" s="14" t="s">
        <v>30</v>
      </c>
      <c r="N749" s="16" t="n">
        <f aca="false">G749*H749</f>
        <v>110.54</v>
      </c>
      <c r="O749" s="18" t="n">
        <v>4.761904762</v>
      </c>
      <c r="P749" s="16" t="n">
        <f aca="false">I749</f>
        <v>5.527</v>
      </c>
      <c r="Q749" s="19" t="n">
        <v>7.6</v>
      </c>
      <c r="R749" s="0" t="str">
        <f aca="false">TEXT(K749,"mmm yyyy")</f>
        <v>Mar 2019</v>
      </c>
      <c r="S749" s="14" t="n">
        <f aca="false">HOUR(TIMEVALUE(L749))</f>
        <v>11</v>
      </c>
      <c r="T749" s="0" t="str">
        <f aca="false">IF(S749&lt;12,"Morning",IF(S749&lt;17,"Afternoon","Evening"))</f>
        <v>Morning</v>
      </c>
      <c r="U749" s="16" t="n">
        <f aca="false">G749*H749*0.05</f>
        <v>5.527</v>
      </c>
    </row>
    <row r="750" customFormat="false" ht="15" hidden="false" customHeight="false" outlineLevel="0" collapsed="false">
      <c r="A750" s="0" t="s">
        <v>1244</v>
      </c>
      <c r="B750" s="0" t="s">
        <v>25</v>
      </c>
      <c r="C750" s="0" t="s">
        <v>68</v>
      </c>
      <c r="D750" s="0" t="s">
        <v>22</v>
      </c>
      <c r="E750" s="0" t="s">
        <v>60</v>
      </c>
      <c r="F750" s="0" t="s">
        <v>31</v>
      </c>
      <c r="G750" s="16" t="n">
        <v>46.62</v>
      </c>
      <c r="H750" s="0" t="n">
        <v>2</v>
      </c>
      <c r="I750" s="16" t="n">
        <f aca="false">G750*H750*0.05</f>
        <v>4.662</v>
      </c>
      <c r="J750" s="16" t="n">
        <f aca="false">G750*H750*1.05</f>
        <v>97.902</v>
      </c>
      <c r="K750" s="17" t="n">
        <v>43530</v>
      </c>
      <c r="L750" s="14" t="s">
        <v>1245</v>
      </c>
      <c r="M750" s="14" t="s">
        <v>30</v>
      </c>
      <c r="N750" s="16" t="n">
        <f aca="false">G750*H750</f>
        <v>93.24</v>
      </c>
      <c r="O750" s="18" t="n">
        <v>4.761904762</v>
      </c>
      <c r="P750" s="16" t="n">
        <f aca="false">I750</f>
        <v>4.662</v>
      </c>
      <c r="Q750" s="19" t="n">
        <v>7.2</v>
      </c>
      <c r="R750" s="0" t="str">
        <f aca="false">TEXT(K750,"mmm yyyy")</f>
        <v>Mar 2019</v>
      </c>
      <c r="S750" s="14" t="n">
        <f aca="false">HOUR(TIMEVALUE(L750))</f>
        <v>19</v>
      </c>
      <c r="T750" s="0" t="str">
        <f aca="false">IF(S750&lt;12,"Morning",IF(S750&lt;17,"Afternoon","Evening"))</f>
        <v>Evening</v>
      </c>
      <c r="U750" s="16" t="n">
        <f aca="false">G750*H750*0.05</f>
        <v>4.662</v>
      </c>
    </row>
    <row r="751" customFormat="false" ht="15" hidden="false" customHeight="false" outlineLevel="0" collapsed="false">
      <c r="A751" s="0" t="s">
        <v>1246</v>
      </c>
      <c r="B751" s="0" t="s">
        <v>29</v>
      </c>
      <c r="C751" s="0" t="s">
        <v>56</v>
      </c>
      <c r="D751" s="0" t="s">
        <v>22</v>
      </c>
      <c r="E751" s="0" t="s">
        <v>60</v>
      </c>
      <c r="F751" s="0" t="s">
        <v>36</v>
      </c>
      <c r="G751" s="16" t="n">
        <v>95.5</v>
      </c>
      <c r="H751" s="0" t="n">
        <v>2</v>
      </c>
      <c r="I751" s="16" t="n">
        <f aca="false">G751*H751*0.05</f>
        <v>9.55</v>
      </c>
      <c r="J751" s="16" t="n">
        <f aca="false">G751*H751*1.05</f>
        <v>200.55</v>
      </c>
      <c r="K751" s="17" t="n">
        <v>43530</v>
      </c>
      <c r="L751" s="14" t="s">
        <v>1247</v>
      </c>
      <c r="M751" s="14" t="s">
        <v>30</v>
      </c>
      <c r="N751" s="16" t="n">
        <f aca="false">G751*H751</f>
        <v>191</v>
      </c>
      <c r="O751" s="18" t="n">
        <v>4.761904762</v>
      </c>
      <c r="P751" s="16" t="n">
        <f aca="false">I751</f>
        <v>9.55</v>
      </c>
      <c r="Q751" s="19" t="n">
        <v>5.4</v>
      </c>
      <c r="R751" s="0" t="str">
        <f aca="false">TEXT(K751,"mmm yyyy")</f>
        <v>Mar 2019</v>
      </c>
      <c r="S751" s="14" t="n">
        <f aca="false">HOUR(TIMEVALUE(L751))</f>
        <v>18</v>
      </c>
      <c r="T751" s="0" t="str">
        <f aca="false">IF(S751&lt;12,"Morning",IF(S751&lt;17,"Afternoon","Evening"))</f>
        <v>Evening</v>
      </c>
      <c r="U751" s="16" t="n">
        <f aca="false">G751*H751*0.05</f>
        <v>9.55</v>
      </c>
    </row>
    <row r="752" customFormat="false" ht="15" hidden="false" customHeight="false" outlineLevel="0" collapsed="false">
      <c r="A752" s="0" t="s">
        <v>1248</v>
      </c>
      <c r="B752" s="0" t="s">
        <v>33</v>
      </c>
      <c r="C752" s="0" t="s">
        <v>65</v>
      </c>
      <c r="D752" s="0" t="s">
        <v>22</v>
      </c>
      <c r="E752" s="0" t="s">
        <v>60</v>
      </c>
      <c r="F752" s="0" t="s">
        <v>31</v>
      </c>
      <c r="G752" s="16" t="n">
        <v>26.97</v>
      </c>
      <c r="H752" s="0" t="n">
        <v>5</v>
      </c>
      <c r="I752" s="16" t="n">
        <f aca="false">G752*H752*0.05</f>
        <v>6.7425</v>
      </c>
      <c r="J752" s="16" t="n">
        <f aca="false">G752*H752*1.05</f>
        <v>141.5925</v>
      </c>
      <c r="K752" s="17" t="n">
        <v>43531</v>
      </c>
      <c r="L752" s="14" t="s">
        <v>257</v>
      </c>
      <c r="M752" s="14" t="s">
        <v>30</v>
      </c>
      <c r="N752" s="16" t="n">
        <f aca="false">G752*H752</f>
        <v>134.85</v>
      </c>
      <c r="O752" s="18" t="n">
        <v>4.761904762</v>
      </c>
      <c r="P752" s="16" t="n">
        <f aca="false">I752</f>
        <v>6.7425</v>
      </c>
      <c r="Q752" s="19" t="n">
        <v>6.9</v>
      </c>
      <c r="R752" s="0" t="str">
        <f aca="false">TEXT(K752,"mmm yyyy")</f>
        <v>Mar 2019</v>
      </c>
      <c r="S752" s="14" t="n">
        <f aca="false">HOUR(TIMEVALUE(L752))</f>
        <v>16</v>
      </c>
      <c r="T752" s="0" t="str">
        <f aca="false">IF(S752&lt;12,"Morning",IF(S752&lt;17,"Afternoon","Evening"))</f>
        <v>Afternoon</v>
      </c>
      <c r="U752" s="16" t="n">
        <f aca="false">G752*H752*0.05</f>
        <v>6.7425</v>
      </c>
    </row>
    <row r="753" customFormat="false" ht="15" hidden="false" customHeight="false" outlineLevel="0" collapsed="false">
      <c r="A753" s="0" t="s">
        <v>1249</v>
      </c>
      <c r="B753" s="0" t="s">
        <v>33</v>
      </c>
      <c r="C753" s="0" t="s">
        <v>65</v>
      </c>
      <c r="D753" s="0" t="s">
        <v>22</v>
      </c>
      <c r="E753" s="0" t="s">
        <v>57</v>
      </c>
      <c r="F753" s="0" t="s">
        <v>35</v>
      </c>
      <c r="G753" s="16" t="n">
        <v>68.45</v>
      </c>
      <c r="H753" s="0" t="n">
        <v>3</v>
      </c>
      <c r="I753" s="16" t="n">
        <f aca="false">G753*H753*0.05</f>
        <v>10.2675</v>
      </c>
      <c r="J753" s="16" t="n">
        <f aca="false">G753*H753*1.05</f>
        <v>215.6175</v>
      </c>
      <c r="K753" s="17" t="n">
        <v>43531</v>
      </c>
      <c r="L753" s="14" t="s">
        <v>391</v>
      </c>
      <c r="M753" s="14" t="s">
        <v>26</v>
      </c>
      <c r="N753" s="16" t="n">
        <f aca="false">G753*H753</f>
        <v>205.35</v>
      </c>
      <c r="O753" s="18" t="n">
        <v>4.761904762</v>
      </c>
      <c r="P753" s="16" t="n">
        <f aca="false">I753</f>
        <v>10.2675</v>
      </c>
      <c r="Q753" s="19" t="n">
        <v>4.7</v>
      </c>
      <c r="R753" s="0" t="str">
        <f aca="false">TEXT(K753,"mmm yyyy")</f>
        <v>Mar 2019</v>
      </c>
      <c r="S753" s="14" t="n">
        <f aca="false">HOUR(TIMEVALUE(L753))</f>
        <v>20</v>
      </c>
      <c r="T753" s="0" t="str">
        <f aca="false">IF(S753&lt;12,"Morning",IF(S753&lt;17,"Afternoon","Evening"))</f>
        <v>Evening</v>
      </c>
      <c r="U753" s="16" t="n">
        <f aca="false">G753*H753*0.05</f>
        <v>10.2675</v>
      </c>
    </row>
    <row r="754" customFormat="false" ht="15" hidden="false" customHeight="false" outlineLevel="0" collapsed="false">
      <c r="A754" s="0" t="s">
        <v>1250</v>
      </c>
      <c r="B754" s="0" t="s">
        <v>29</v>
      </c>
      <c r="C754" s="0" t="s">
        <v>56</v>
      </c>
      <c r="D754" s="0" t="s">
        <v>21</v>
      </c>
      <c r="E754" s="0" t="s">
        <v>60</v>
      </c>
      <c r="F754" s="0" t="s">
        <v>27</v>
      </c>
      <c r="G754" s="16" t="n">
        <v>55.65</v>
      </c>
      <c r="H754" s="0" t="n">
        <v>6</v>
      </c>
      <c r="I754" s="16" t="n">
        <f aca="false">G754*H754*0.05</f>
        <v>16.695</v>
      </c>
      <c r="J754" s="16" t="n">
        <f aca="false">G754*H754*1.05</f>
        <v>350.595</v>
      </c>
      <c r="K754" s="17" t="n">
        <v>43531</v>
      </c>
      <c r="L754" s="14" t="s">
        <v>622</v>
      </c>
      <c r="M754" s="14" t="s">
        <v>34</v>
      </c>
      <c r="N754" s="16" t="n">
        <f aca="false">G754*H754</f>
        <v>333.9</v>
      </c>
      <c r="O754" s="18" t="n">
        <v>4.761904762</v>
      </c>
      <c r="P754" s="16" t="n">
        <f aca="false">I754</f>
        <v>16.695</v>
      </c>
      <c r="Q754" s="19" t="n">
        <v>6.7</v>
      </c>
      <c r="R754" s="0" t="str">
        <f aca="false">TEXT(K754,"mmm yyyy")</f>
        <v>Mar 2019</v>
      </c>
      <c r="S754" s="14" t="n">
        <f aca="false">HOUR(TIMEVALUE(L754))</f>
        <v>11</v>
      </c>
      <c r="T754" s="0" t="str">
        <f aca="false">IF(S754&lt;12,"Morning",IF(S754&lt;17,"Afternoon","Evening"))</f>
        <v>Morning</v>
      </c>
      <c r="U754" s="16" t="n">
        <f aca="false">G754*H754*0.05</f>
        <v>16.695</v>
      </c>
    </row>
    <row r="755" customFormat="false" ht="15" hidden="false" customHeight="false" outlineLevel="0" collapsed="false">
      <c r="A755" s="0" t="s">
        <v>1251</v>
      </c>
      <c r="B755" s="0" t="s">
        <v>25</v>
      </c>
      <c r="C755" s="0" t="s">
        <v>68</v>
      </c>
      <c r="D755" s="0" t="s">
        <v>22</v>
      </c>
      <c r="E755" s="0" t="s">
        <v>57</v>
      </c>
      <c r="F755" s="0" t="s">
        <v>23</v>
      </c>
      <c r="G755" s="16" t="n">
        <v>36.46</v>
      </c>
      <c r="H755" s="0" t="n">
        <v>6</v>
      </c>
      <c r="I755" s="16" t="n">
        <f aca="false">G755*H755*0.05</f>
        <v>10.938</v>
      </c>
      <c r="J755" s="16" t="n">
        <f aca="false">G755*H755*1.05</f>
        <v>229.698</v>
      </c>
      <c r="K755" s="17" t="n">
        <v>43531</v>
      </c>
      <c r="L755" s="14" t="s">
        <v>1252</v>
      </c>
      <c r="M755" s="14" t="s">
        <v>34</v>
      </c>
      <c r="N755" s="16" t="n">
        <f aca="false">G755*H755</f>
        <v>218.76</v>
      </c>
      <c r="O755" s="18" t="n">
        <v>4.761904762</v>
      </c>
      <c r="P755" s="16" t="n">
        <f aca="false">I755</f>
        <v>10.938</v>
      </c>
      <c r="Q755" s="19" t="n">
        <v>7</v>
      </c>
      <c r="R755" s="0" t="str">
        <f aca="false">TEXT(K755,"mmm yyyy")</f>
        <v>Mar 2019</v>
      </c>
      <c r="S755" s="14" t="n">
        <f aca="false">HOUR(TIMEVALUE(L755))</f>
        <v>17</v>
      </c>
      <c r="T755" s="0" t="str">
        <f aca="false">IF(S755&lt;12,"Morning",IF(S755&lt;17,"Afternoon","Evening"))</f>
        <v>Evening</v>
      </c>
      <c r="U755" s="16" t="n">
        <f aca="false">G755*H755*0.05</f>
        <v>10.938</v>
      </c>
    </row>
    <row r="756" customFormat="false" ht="15" hidden="false" customHeight="false" outlineLevel="0" collapsed="false">
      <c r="A756" s="0" t="s">
        <v>1253</v>
      </c>
      <c r="B756" s="0" t="s">
        <v>29</v>
      </c>
      <c r="C756" s="0" t="s">
        <v>56</v>
      </c>
      <c r="D756" s="0" t="s">
        <v>21</v>
      </c>
      <c r="E756" s="0" t="s">
        <v>60</v>
      </c>
      <c r="F756" s="0" t="s">
        <v>31</v>
      </c>
      <c r="G756" s="16" t="n">
        <v>65.6</v>
      </c>
      <c r="H756" s="0" t="n">
        <v>3</v>
      </c>
      <c r="I756" s="16" t="n">
        <f aca="false">G756*H756*0.05</f>
        <v>9.84</v>
      </c>
      <c r="J756" s="16" t="n">
        <f aca="false">G756*H756*1.05</f>
        <v>206.64</v>
      </c>
      <c r="K756" s="17" t="n">
        <v>43531</v>
      </c>
      <c r="L756" s="14" t="s">
        <v>267</v>
      </c>
      <c r="M756" s="14" t="s">
        <v>30</v>
      </c>
      <c r="N756" s="16" t="n">
        <f aca="false">G756*H756</f>
        <v>196.8</v>
      </c>
      <c r="O756" s="18" t="n">
        <v>4.761904762</v>
      </c>
      <c r="P756" s="16" t="n">
        <f aca="false">I756</f>
        <v>9.84</v>
      </c>
      <c r="Q756" s="19" t="n">
        <v>4.7</v>
      </c>
      <c r="R756" s="0" t="str">
        <f aca="false">TEXT(K756,"mmm yyyy")</f>
        <v>Mar 2019</v>
      </c>
      <c r="S756" s="14" t="n">
        <f aca="false">HOUR(TIMEVALUE(L756))</f>
        <v>14</v>
      </c>
      <c r="T756" s="0" t="str">
        <f aca="false">IF(S756&lt;12,"Morning",IF(S756&lt;17,"Afternoon","Evening"))</f>
        <v>Afternoon</v>
      </c>
      <c r="U756" s="16" t="n">
        <f aca="false">G756*H756*0.05</f>
        <v>9.84</v>
      </c>
    </row>
    <row r="757" customFormat="false" ht="15" hidden="false" customHeight="false" outlineLevel="0" collapsed="false">
      <c r="A757" s="0" t="s">
        <v>1254</v>
      </c>
      <c r="B757" s="0" t="s">
        <v>33</v>
      </c>
      <c r="C757" s="0" t="s">
        <v>65</v>
      </c>
      <c r="D757" s="0" t="s">
        <v>21</v>
      </c>
      <c r="E757" s="0" t="s">
        <v>60</v>
      </c>
      <c r="F757" s="0" t="s">
        <v>31</v>
      </c>
      <c r="G757" s="16" t="n">
        <v>60.12</v>
      </c>
      <c r="H757" s="0" t="n">
        <v>5</v>
      </c>
      <c r="I757" s="16" t="n">
        <f aca="false">G757*H757*0.05</f>
        <v>15.03</v>
      </c>
      <c r="J757" s="16" t="n">
        <f aca="false">G757*H757*1.05</f>
        <v>315.63</v>
      </c>
      <c r="K757" s="17" t="n">
        <v>43531</v>
      </c>
      <c r="L757" s="14" t="s">
        <v>1255</v>
      </c>
      <c r="M757" s="14" t="s">
        <v>30</v>
      </c>
      <c r="N757" s="16" t="n">
        <f aca="false">G757*H757</f>
        <v>300.6</v>
      </c>
      <c r="O757" s="18" t="n">
        <v>4.761904762</v>
      </c>
      <c r="P757" s="16" t="n">
        <f aca="false">I757</f>
        <v>15.03</v>
      </c>
      <c r="Q757" s="19" t="n">
        <v>5.2</v>
      </c>
      <c r="R757" s="0" t="str">
        <f aca="false">TEXT(K757,"mmm yyyy")</f>
        <v>Mar 2019</v>
      </c>
      <c r="S757" s="14" t="n">
        <f aca="false">HOUR(TIMEVALUE(L757))</f>
        <v>14</v>
      </c>
      <c r="T757" s="0" t="str">
        <f aca="false">IF(S757&lt;12,"Morning",IF(S757&lt;17,"Afternoon","Evening"))</f>
        <v>Afternoon</v>
      </c>
      <c r="U757" s="16" t="n">
        <f aca="false">G757*H757*0.05</f>
        <v>15.03</v>
      </c>
    </row>
    <row r="758" customFormat="false" ht="15" hidden="false" customHeight="false" outlineLevel="0" collapsed="false">
      <c r="A758" s="0" t="s">
        <v>1256</v>
      </c>
      <c r="B758" s="0" t="s">
        <v>25</v>
      </c>
      <c r="C758" s="0" t="s">
        <v>68</v>
      </c>
      <c r="D758" s="0" t="s">
        <v>22</v>
      </c>
      <c r="E758" s="0" t="s">
        <v>57</v>
      </c>
      <c r="F758" s="0" t="s">
        <v>23</v>
      </c>
      <c r="G758" s="16" t="n">
        <v>83.73</v>
      </c>
      <c r="H758" s="0" t="n">
        <v>8</v>
      </c>
      <c r="I758" s="16" t="n">
        <f aca="false">G758*H758*0.05</f>
        <v>33.492</v>
      </c>
      <c r="J758" s="16" t="n">
        <f aca="false">G758*H758*1.05</f>
        <v>703.332</v>
      </c>
      <c r="K758" s="17" t="n">
        <v>43532</v>
      </c>
      <c r="L758" s="14" t="s">
        <v>1257</v>
      </c>
      <c r="M758" s="14" t="s">
        <v>34</v>
      </c>
      <c r="N758" s="16" t="n">
        <f aca="false">G758*H758</f>
        <v>669.84</v>
      </c>
      <c r="O758" s="18" t="n">
        <v>4.761904762</v>
      </c>
      <c r="P758" s="16" t="n">
        <f aca="false">I758</f>
        <v>33.492</v>
      </c>
      <c r="Q758" s="19" t="n">
        <v>6.3</v>
      </c>
      <c r="R758" s="0" t="str">
        <f aca="false">TEXT(K758,"mmm yyyy")</f>
        <v>Mar 2019</v>
      </c>
      <c r="S758" s="14" t="n">
        <f aca="false">HOUR(TIMEVALUE(L758))</f>
        <v>14</v>
      </c>
      <c r="T758" s="0" t="str">
        <f aca="false">IF(S758&lt;12,"Morning",IF(S758&lt;17,"Afternoon","Evening"))</f>
        <v>Afternoon</v>
      </c>
      <c r="U758" s="16" t="n">
        <f aca="false">G758*H758*0.05</f>
        <v>33.492</v>
      </c>
    </row>
    <row r="759" customFormat="false" ht="15" hidden="false" customHeight="false" outlineLevel="0" collapsed="false">
      <c r="A759" s="0" t="s">
        <v>1258</v>
      </c>
      <c r="B759" s="0" t="s">
        <v>29</v>
      </c>
      <c r="C759" s="0" t="s">
        <v>56</v>
      </c>
      <c r="D759" s="0" t="s">
        <v>22</v>
      </c>
      <c r="E759" s="0" t="s">
        <v>60</v>
      </c>
      <c r="F759" s="0" t="s">
        <v>36</v>
      </c>
      <c r="G759" s="16" t="n">
        <v>91.65</v>
      </c>
      <c r="H759" s="0" t="n">
        <v>10</v>
      </c>
      <c r="I759" s="16" t="n">
        <f aca="false">G759*H759*0.05</f>
        <v>45.825</v>
      </c>
      <c r="J759" s="16" t="n">
        <f aca="false">G759*H759*1.05</f>
        <v>962.325</v>
      </c>
      <c r="K759" s="17" t="n">
        <v>43532</v>
      </c>
      <c r="L759" s="14" t="s">
        <v>851</v>
      </c>
      <c r="M759" s="14" t="s">
        <v>34</v>
      </c>
      <c r="N759" s="16" t="n">
        <f aca="false">G759*H759</f>
        <v>916.5</v>
      </c>
      <c r="O759" s="18" t="n">
        <v>4.761904762</v>
      </c>
      <c r="P759" s="16" t="n">
        <f aca="false">I759</f>
        <v>45.825</v>
      </c>
      <c r="Q759" s="19" t="n">
        <v>5.9</v>
      </c>
      <c r="R759" s="0" t="str">
        <f aca="false">TEXT(K759,"mmm yyyy")</f>
        <v>Mar 2019</v>
      </c>
      <c r="S759" s="14" t="n">
        <f aca="false">HOUR(TIMEVALUE(L759))</f>
        <v>18</v>
      </c>
      <c r="T759" s="0" t="str">
        <f aca="false">IF(S759&lt;12,"Morning",IF(S759&lt;17,"Afternoon","Evening"))</f>
        <v>Evening</v>
      </c>
      <c r="U759" s="16" t="n">
        <f aca="false">G759*H759*0.05</f>
        <v>45.825</v>
      </c>
    </row>
    <row r="760" customFormat="false" ht="15" hidden="false" customHeight="false" outlineLevel="0" collapsed="false">
      <c r="A760" s="0" t="s">
        <v>1259</v>
      </c>
      <c r="B760" s="0" t="s">
        <v>33</v>
      </c>
      <c r="C760" s="0" t="s">
        <v>65</v>
      </c>
      <c r="D760" s="0" t="s">
        <v>21</v>
      </c>
      <c r="E760" s="0" t="s">
        <v>60</v>
      </c>
      <c r="F760" s="0" t="s">
        <v>23</v>
      </c>
      <c r="G760" s="16" t="n">
        <v>66.41</v>
      </c>
      <c r="H760" s="0" t="n">
        <v>3</v>
      </c>
      <c r="I760" s="16" t="n">
        <f aca="false">G760*H760*0.05</f>
        <v>9.9615</v>
      </c>
      <c r="J760" s="16" t="n">
        <f aca="false">G760*H760*1.05</f>
        <v>209.1915</v>
      </c>
      <c r="K760" s="17" t="n">
        <v>43532</v>
      </c>
      <c r="L760" s="14" t="s">
        <v>1260</v>
      </c>
      <c r="M760" s="14" t="s">
        <v>34</v>
      </c>
      <c r="N760" s="16" t="n">
        <f aca="false">G760*H760</f>
        <v>199.23</v>
      </c>
      <c r="O760" s="18" t="n">
        <v>4.761904762</v>
      </c>
      <c r="P760" s="16" t="n">
        <f aca="false">I760</f>
        <v>9.9615</v>
      </c>
      <c r="Q760" s="19" t="n">
        <v>8.8</v>
      </c>
      <c r="R760" s="0" t="str">
        <f aca="false">TEXT(K760,"mmm yyyy")</f>
        <v>Mar 2019</v>
      </c>
      <c r="S760" s="14" t="n">
        <f aca="false">HOUR(TIMEVALUE(L760))</f>
        <v>13</v>
      </c>
      <c r="T760" s="0" t="str">
        <f aca="false">IF(S760&lt;12,"Morning",IF(S760&lt;17,"Afternoon","Evening"))</f>
        <v>Afternoon</v>
      </c>
      <c r="U760" s="16" t="n">
        <f aca="false">G760*H760*0.05</f>
        <v>9.9615</v>
      </c>
    </row>
    <row r="761" customFormat="false" ht="15" hidden="false" customHeight="false" outlineLevel="0" collapsed="false">
      <c r="A761" s="0" t="s">
        <v>1261</v>
      </c>
      <c r="B761" s="0" t="s">
        <v>29</v>
      </c>
      <c r="C761" s="0" t="s">
        <v>56</v>
      </c>
      <c r="D761" s="0" t="s">
        <v>21</v>
      </c>
      <c r="E761" s="0" t="s">
        <v>57</v>
      </c>
      <c r="F761" s="0" t="s">
        <v>36</v>
      </c>
      <c r="G761" s="16" t="n">
        <v>91.61</v>
      </c>
      <c r="H761" s="0" t="n">
        <v>2</v>
      </c>
      <c r="I761" s="16" t="n">
        <f aca="false">G761*H761*0.05</f>
        <v>9.161</v>
      </c>
      <c r="J761" s="16" t="n">
        <f aca="false">G761*H761*1.05</f>
        <v>192.381</v>
      </c>
      <c r="K761" s="17" t="n">
        <v>43532</v>
      </c>
      <c r="L761" s="14" t="s">
        <v>150</v>
      </c>
      <c r="M761" s="14" t="s">
        <v>26</v>
      </c>
      <c r="N761" s="16" t="n">
        <f aca="false">G761*H761</f>
        <v>183.22</v>
      </c>
      <c r="O761" s="18" t="n">
        <v>4.761904762</v>
      </c>
      <c r="P761" s="16" t="n">
        <f aca="false">I761</f>
        <v>9.161</v>
      </c>
      <c r="Q761" s="19" t="n">
        <v>7.7</v>
      </c>
      <c r="R761" s="0" t="str">
        <f aca="false">TEXT(K761,"mmm yyyy")</f>
        <v>Mar 2019</v>
      </c>
      <c r="S761" s="14" t="n">
        <f aca="false">HOUR(TIMEVALUE(L761))</f>
        <v>10</v>
      </c>
      <c r="T761" s="0" t="str">
        <f aca="false">IF(S761&lt;12,"Morning",IF(S761&lt;17,"Afternoon","Evening"))</f>
        <v>Morning</v>
      </c>
      <c r="U761" s="16" t="n">
        <f aca="false">G761*H761*0.05</f>
        <v>9.161</v>
      </c>
    </row>
    <row r="762" customFormat="false" ht="15" hidden="false" customHeight="false" outlineLevel="0" collapsed="false">
      <c r="A762" s="0" t="s">
        <v>1262</v>
      </c>
      <c r="B762" s="0" t="s">
        <v>29</v>
      </c>
      <c r="C762" s="0" t="s">
        <v>56</v>
      </c>
      <c r="D762" s="0" t="s">
        <v>21</v>
      </c>
      <c r="E762" s="0" t="s">
        <v>57</v>
      </c>
      <c r="F762" s="0" t="s">
        <v>35</v>
      </c>
      <c r="G762" s="16" t="n">
        <v>68.57</v>
      </c>
      <c r="H762" s="0" t="n">
        <v>10</v>
      </c>
      <c r="I762" s="16" t="n">
        <f aca="false">G762*H762*0.05</f>
        <v>34.285</v>
      </c>
      <c r="J762" s="16" t="n">
        <f aca="false">G762*H762*1.05</f>
        <v>719.985</v>
      </c>
      <c r="K762" s="17" t="n">
        <v>43532</v>
      </c>
      <c r="L762" s="14" t="s">
        <v>1073</v>
      </c>
      <c r="M762" s="14" t="s">
        <v>26</v>
      </c>
      <c r="N762" s="16" t="n">
        <f aca="false">G762*H762</f>
        <v>685.7</v>
      </c>
      <c r="O762" s="18" t="n">
        <v>4.761904762</v>
      </c>
      <c r="P762" s="16" t="n">
        <f aca="false">I762</f>
        <v>34.285</v>
      </c>
      <c r="Q762" s="19" t="n">
        <v>7.6</v>
      </c>
      <c r="R762" s="0" t="str">
        <f aca="false">TEXT(K762,"mmm yyyy")</f>
        <v>Mar 2019</v>
      </c>
      <c r="S762" s="14" t="n">
        <f aca="false">HOUR(TIMEVALUE(L762))</f>
        <v>17</v>
      </c>
      <c r="T762" s="0" t="str">
        <f aca="false">IF(S762&lt;12,"Morning",IF(S762&lt;17,"Afternoon","Evening"))</f>
        <v>Evening</v>
      </c>
      <c r="U762" s="16" t="n">
        <f aca="false">G762*H762*0.05</f>
        <v>34.285</v>
      </c>
    </row>
    <row r="763" customFormat="false" ht="15" hidden="false" customHeight="false" outlineLevel="0" collapsed="false">
      <c r="A763" s="0" t="s">
        <v>1263</v>
      </c>
      <c r="B763" s="0" t="s">
        <v>33</v>
      </c>
      <c r="C763" s="0" t="s">
        <v>65</v>
      </c>
      <c r="D763" s="0" t="s">
        <v>21</v>
      </c>
      <c r="E763" s="0" t="s">
        <v>57</v>
      </c>
      <c r="F763" s="0" t="s">
        <v>23</v>
      </c>
      <c r="G763" s="16" t="n">
        <v>90.56</v>
      </c>
      <c r="H763" s="0" t="n">
        <v>6</v>
      </c>
      <c r="I763" s="16" t="n">
        <f aca="false">G763*H763*0.05</f>
        <v>27.168</v>
      </c>
      <c r="J763" s="16" t="n">
        <f aca="false">G763*H763*1.05</f>
        <v>570.528</v>
      </c>
      <c r="K763" s="17" t="n">
        <v>43532</v>
      </c>
      <c r="L763" s="14" t="s">
        <v>692</v>
      </c>
      <c r="M763" s="14" t="s">
        <v>26</v>
      </c>
      <c r="N763" s="16" t="n">
        <f aca="false">G763*H763</f>
        <v>543.36</v>
      </c>
      <c r="O763" s="18" t="n">
        <v>4.761904762</v>
      </c>
      <c r="P763" s="16" t="n">
        <f aca="false">I763</f>
        <v>27.168</v>
      </c>
      <c r="Q763" s="19" t="n">
        <v>7.6</v>
      </c>
      <c r="R763" s="0" t="str">
        <f aca="false">TEXT(K763,"mmm yyyy")</f>
        <v>Mar 2019</v>
      </c>
      <c r="S763" s="14" t="n">
        <f aca="false">HOUR(TIMEVALUE(L763))</f>
        <v>15</v>
      </c>
      <c r="T763" s="0" t="str">
        <f aca="false">IF(S763&lt;12,"Morning",IF(S763&lt;17,"Afternoon","Evening"))</f>
        <v>Afternoon</v>
      </c>
      <c r="U763" s="16" t="n">
        <f aca="false">G763*H763*0.05</f>
        <v>27.168</v>
      </c>
    </row>
    <row r="764" customFormat="false" ht="15" hidden="false" customHeight="false" outlineLevel="0" collapsed="false">
      <c r="A764" s="0" t="s">
        <v>1264</v>
      </c>
      <c r="B764" s="0" t="s">
        <v>29</v>
      </c>
      <c r="C764" s="0" t="s">
        <v>56</v>
      </c>
      <c r="D764" s="0" t="s">
        <v>21</v>
      </c>
      <c r="E764" s="0" t="s">
        <v>60</v>
      </c>
      <c r="F764" s="0" t="s">
        <v>27</v>
      </c>
      <c r="G764" s="16" t="n">
        <v>23.89</v>
      </c>
      <c r="H764" s="0" t="n">
        <v>1</v>
      </c>
      <c r="I764" s="16" t="n">
        <f aca="false">G764*H764*0.05</f>
        <v>1.1945</v>
      </c>
      <c r="J764" s="16" t="n">
        <f aca="false">G764*H764*1.05</f>
        <v>25.0845</v>
      </c>
      <c r="K764" s="17" t="n">
        <v>43532</v>
      </c>
      <c r="L764" s="14" t="s">
        <v>1265</v>
      </c>
      <c r="M764" s="14" t="s">
        <v>30</v>
      </c>
      <c r="N764" s="16" t="n">
        <f aca="false">G764*H764</f>
        <v>23.89</v>
      </c>
      <c r="O764" s="18" t="n">
        <v>4.761904762</v>
      </c>
      <c r="P764" s="16" t="n">
        <f aca="false">I764</f>
        <v>1.1945</v>
      </c>
      <c r="Q764" s="19" t="n">
        <v>8.3</v>
      </c>
      <c r="R764" s="0" t="str">
        <f aca="false">TEXT(K764,"mmm yyyy")</f>
        <v>Mar 2019</v>
      </c>
      <c r="S764" s="14" t="n">
        <f aca="false">HOUR(TIMEVALUE(L764))</f>
        <v>17</v>
      </c>
      <c r="T764" s="0" t="str">
        <f aca="false">IF(S764&lt;12,"Morning",IF(S764&lt;17,"Afternoon","Evening"))</f>
        <v>Evening</v>
      </c>
      <c r="U764" s="16" t="n">
        <f aca="false">G764*H764*0.05</f>
        <v>1.1945</v>
      </c>
    </row>
    <row r="765" customFormat="false" ht="15" hidden="false" customHeight="false" outlineLevel="0" collapsed="false">
      <c r="A765" s="0" t="s">
        <v>1266</v>
      </c>
      <c r="B765" s="0" t="s">
        <v>33</v>
      </c>
      <c r="C765" s="0" t="s">
        <v>65</v>
      </c>
      <c r="D765" s="0" t="s">
        <v>21</v>
      </c>
      <c r="E765" s="0" t="s">
        <v>60</v>
      </c>
      <c r="F765" s="0" t="s">
        <v>31</v>
      </c>
      <c r="G765" s="16" t="n">
        <v>24.69</v>
      </c>
      <c r="H765" s="0" t="n">
        <v>6</v>
      </c>
      <c r="I765" s="16" t="n">
        <f aca="false">G765*H765*0.05</f>
        <v>7.407</v>
      </c>
      <c r="J765" s="16" t="n">
        <f aca="false">G765*H765*1.05</f>
        <v>155.547</v>
      </c>
      <c r="K765" s="17" t="n">
        <v>43532</v>
      </c>
      <c r="L765" s="14" t="s">
        <v>1267</v>
      </c>
      <c r="M765" s="14" t="s">
        <v>26</v>
      </c>
      <c r="N765" s="16" t="n">
        <f aca="false">G765*H765</f>
        <v>148.14</v>
      </c>
      <c r="O765" s="18" t="n">
        <v>4.761904762</v>
      </c>
      <c r="P765" s="16" t="n">
        <f aca="false">I765</f>
        <v>7.407</v>
      </c>
      <c r="Q765" s="19" t="n">
        <v>9.9</v>
      </c>
      <c r="R765" s="0" t="str">
        <f aca="false">TEXT(K765,"mmm yyyy")</f>
        <v>Mar 2019</v>
      </c>
      <c r="S765" s="14" t="n">
        <f aca="false">HOUR(TIMEVALUE(L765))</f>
        <v>16</v>
      </c>
      <c r="T765" s="0" t="str">
        <f aca="false">IF(S765&lt;12,"Morning",IF(S765&lt;17,"Afternoon","Evening"))</f>
        <v>Afternoon</v>
      </c>
      <c r="U765" s="16" t="n">
        <f aca="false">G765*H765*0.05</f>
        <v>7.407</v>
      </c>
    </row>
    <row r="766" customFormat="false" ht="15" hidden="false" customHeight="false" outlineLevel="0" collapsed="false">
      <c r="A766" s="0" t="s">
        <v>1268</v>
      </c>
      <c r="B766" s="0" t="s">
        <v>25</v>
      </c>
      <c r="C766" s="0" t="s">
        <v>68</v>
      </c>
      <c r="D766" s="0" t="s">
        <v>22</v>
      </c>
      <c r="E766" s="0" t="s">
        <v>57</v>
      </c>
      <c r="F766" s="0" t="s">
        <v>36</v>
      </c>
      <c r="G766" s="16" t="n">
        <v>35.52</v>
      </c>
      <c r="H766" s="0" t="n">
        <v>7</v>
      </c>
      <c r="I766" s="16" t="n">
        <f aca="false">G766*H766*0.05</f>
        <v>12.432</v>
      </c>
      <c r="J766" s="16" t="n">
        <f aca="false">G766*H766*1.05</f>
        <v>261.072</v>
      </c>
      <c r="K766" s="17" t="n">
        <v>43532</v>
      </c>
      <c r="L766" s="14" t="s">
        <v>1269</v>
      </c>
      <c r="M766" s="14" t="s">
        <v>34</v>
      </c>
      <c r="N766" s="16" t="n">
        <f aca="false">G766*H766</f>
        <v>248.64</v>
      </c>
      <c r="O766" s="18" t="n">
        <v>4.761904762</v>
      </c>
      <c r="P766" s="16" t="n">
        <f aca="false">I766</f>
        <v>12.432</v>
      </c>
      <c r="Q766" s="19" t="n">
        <v>5.4</v>
      </c>
      <c r="R766" s="0" t="str">
        <f aca="false">TEXT(K766,"mmm yyyy")</f>
        <v>Mar 2019</v>
      </c>
      <c r="S766" s="14" t="n">
        <f aca="false">HOUR(TIMEVALUE(L766))</f>
        <v>13</v>
      </c>
      <c r="T766" s="0" t="str">
        <f aca="false">IF(S766&lt;12,"Morning",IF(S766&lt;17,"Afternoon","Evening"))</f>
        <v>Afternoon</v>
      </c>
      <c r="U766" s="16" t="n">
        <f aca="false">G766*H766*0.05</f>
        <v>12.432</v>
      </c>
    </row>
    <row r="767" customFormat="false" ht="15" hidden="false" customHeight="false" outlineLevel="0" collapsed="false">
      <c r="A767" s="0" t="s">
        <v>1270</v>
      </c>
      <c r="B767" s="0" t="s">
        <v>33</v>
      </c>
      <c r="C767" s="0" t="s">
        <v>65</v>
      </c>
      <c r="D767" s="0" t="s">
        <v>22</v>
      </c>
      <c r="E767" s="0" t="s">
        <v>57</v>
      </c>
      <c r="F767" s="0" t="s">
        <v>27</v>
      </c>
      <c r="G767" s="16" t="n">
        <v>31.84</v>
      </c>
      <c r="H767" s="0" t="n">
        <v>6</v>
      </c>
      <c r="I767" s="16" t="n">
        <f aca="false">G767*H767*0.05</f>
        <v>9.552</v>
      </c>
      <c r="J767" s="16" t="n">
        <f aca="false">G767*H767*1.05</f>
        <v>200.592</v>
      </c>
      <c r="K767" s="17" t="n">
        <v>43532</v>
      </c>
      <c r="L767" s="14" t="s">
        <v>360</v>
      </c>
      <c r="M767" s="14" t="s">
        <v>30</v>
      </c>
      <c r="N767" s="16" t="n">
        <f aca="false">G767*H767</f>
        <v>191.04</v>
      </c>
      <c r="O767" s="18" t="n">
        <v>4.761904762</v>
      </c>
      <c r="P767" s="16" t="n">
        <f aca="false">I767</f>
        <v>9.552</v>
      </c>
      <c r="Q767" s="19" t="n">
        <v>9.8</v>
      </c>
      <c r="R767" s="0" t="str">
        <f aca="false">TEXT(K767,"mmm yyyy")</f>
        <v>Mar 2019</v>
      </c>
      <c r="S767" s="14" t="n">
        <f aca="false">HOUR(TIMEVALUE(L767))</f>
        <v>13</v>
      </c>
      <c r="T767" s="0" t="str">
        <f aca="false">IF(S767&lt;12,"Morning",IF(S767&lt;17,"Afternoon","Evening"))</f>
        <v>Afternoon</v>
      </c>
      <c r="U767" s="16" t="n">
        <f aca="false">G767*H767*0.05</f>
        <v>9.552</v>
      </c>
    </row>
    <row r="768" customFormat="false" ht="15" hidden="false" customHeight="false" outlineLevel="0" collapsed="false">
      <c r="A768" s="0" t="s">
        <v>1271</v>
      </c>
      <c r="B768" s="0" t="s">
        <v>33</v>
      </c>
      <c r="C768" s="0" t="s">
        <v>65</v>
      </c>
      <c r="D768" s="0" t="s">
        <v>22</v>
      </c>
      <c r="E768" s="0" t="s">
        <v>57</v>
      </c>
      <c r="F768" s="0" t="s">
        <v>31</v>
      </c>
      <c r="G768" s="16" t="n">
        <v>97.48</v>
      </c>
      <c r="H768" s="0" t="n">
        <v>8</v>
      </c>
      <c r="I768" s="16" t="n">
        <f aca="false">G768*H768*0.05</f>
        <v>38.992</v>
      </c>
      <c r="J768" s="16" t="n">
        <f aca="false">G768*H768*1.05</f>
        <v>818.832</v>
      </c>
      <c r="K768" s="17" t="n">
        <v>43532</v>
      </c>
      <c r="L768" s="14" t="s">
        <v>1068</v>
      </c>
      <c r="M768" s="14" t="s">
        <v>34</v>
      </c>
      <c r="N768" s="16" t="n">
        <f aca="false">G768*H768</f>
        <v>779.84</v>
      </c>
      <c r="O768" s="18" t="n">
        <v>4.761904762</v>
      </c>
      <c r="P768" s="16" t="n">
        <f aca="false">I768</f>
        <v>38.992</v>
      </c>
      <c r="Q768" s="19" t="n">
        <v>4.2</v>
      </c>
      <c r="R768" s="0" t="str">
        <f aca="false">TEXT(K768,"mmm yyyy")</f>
        <v>Mar 2019</v>
      </c>
      <c r="S768" s="14" t="n">
        <f aca="false">HOUR(TIMEVALUE(L768))</f>
        <v>19</v>
      </c>
      <c r="T768" s="0" t="str">
        <f aca="false">IF(S768&lt;12,"Morning",IF(S768&lt;17,"Afternoon","Evening"))</f>
        <v>Evening</v>
      </c>
      <c r="U768" s="16" t="n">
        <f aca="false">G768*H768*0.05</f>
        <v>38.992</v>
      </c>
    </row>
    <row r="769" customFormat="false" ht="15" hidden="false" customHeight="false" outlineLevel="0" collapsed="false">
      <c r="A769" s="0" t="s">
        <v>1272</v>
      </c>
      <c r="B769" s="0" t="s">
        <v>29</v>
      </c>
      <c r="C769" s="0" t="s">
        <v>56</v>
      </c>
      <c r="D769" s="0" t="s">
        <v>21</v>
      </c>
      <c r="E769" s="0" t="s">
        <v>57</v>
      </c>
      <c r="F769" s="0" t="s">
        <v>35</v>
      </c>
      <c r="G769" s="16" t="n">
        <v>21.15</v>
      </c>
      <c r="H769" s="0" t="n">
        <v>5</v>
      </c>
      <c r="I769" s="16" t="n">
        <f aca="false">G769*H769*0.05</f>
        <v>5.2875</v>
      </c>
      <c r="J769" s="16" t="n">
        <f aca="false">G769*H769*1.05</f>
        <v>111.0375</v>
      </c>
      <c r="K769" s="17" t="n">
        <v>43533</v>
      </c>
      <c r="L769" s="14" t="s">
        <v>541</v>
      </c>
      <c r="M769" s="14" t="s">
        <v>34</v>
      </c>
      <c r="N769" s="16" t="n">
        <f aca="false">G769*H769</f>
        <v>105.75</v>
      </c>
      <c r="O769" s="18" t="n">
        <v>4.761904762</v>
      </c>
      <c r="P769" s="16" t="n">
        <f aca="false">I769</f>
        <v>5.2875</v>
      </c>
      <c r="Q769" s="19" t="n">
        <v>6.2</v>
      </c>
      <c r="R769" s="0" t="str">
        <f aca="false">TEXT(K769,"mmm yyyy")</f>
        <v>Mar 2019</v>
      </c>
      <c r="S769" s="14" t="n">
        <f aca="false">HOUR(TIMEVALUE(L769))</f>
        <v>14</v>
      </c>
      <c r="T769" s="0" t="str">
        <f aca="false">IF(S769&lt;12,"Morning",IF(S769&lt;17,"Afternoon","Evening"))</f>
        <v>Afternoon</v>
      </c>
      <c r="U769" s="16" t="n">
        <f aca="false">G769*H769*0.05</f>
        <v>5.2875</v>
      </c>
    </row>
    <row r="770" customFormat="false" ht="15" hidden="false" customHeight="false" outlineLevel="0" collapsed="false">
      <c r="A770" s="0" t="s">
        <v>1273</v>
      </c>
      <c r="B770" s="0" t="s">
        <v>25</v>
      </c>
      <c r="C770" s="0" t="s">
        <v>68</v>
      </c>
      <c r="D770" s="0" t="s">
        <v>21</v>
      </c>
      <c r="E770" s="0" t="s">
        <v>57</v>
      </c>
      <c r="F770" s="0" t="s">
        <v>23</v>
      </c>
      <c r="G770" s="16" t="n">
        <v>21.54</v>
      </c>
      <c r="H770" s="0" t="n">
        <v>3</v>
      </c>
      <c r="I770" s="16" t="n">
        <f aca="false">G770*H770*0.05</f>
        <v>3.231</v>
      </c>
      <c r="J770" s="16" t="n">
        <f aca="false">G770*H770*1.05</f>
        <v>67.851</v>
      </c>
      <c r="K770" s="17" t="n">
        <v>43533</v>
      </c>
      <c r="L770" s="14" t="s">
        <v>1274</v>
      </c>
      <c r="M770" s="14" t="s">
        <v>30</v>
      </c>
      <c r="N770" s="16" t="n">
        <f aca="false">G770*H770</f>
        <v>64.62</v>
      </c>
      <c r="O770" s="18" t="n">
        <v>4.761904762</v>
      </c>
      <c r="P770" s="16" t="n">
        <f aca="false">I770</f>
        <v>3.231</v>
      </c>
      <c r="Q770" s="19" t="n">
        <v>10</v>
      </c>
      <c r="R770" s="0" t="str">
        <f aca="false">TEXT(K770,"mmm yyyy")</f>
        <v>Mar 2019</v>
      </c>
      <c r="S770" s="14" t="n">
        <f aca="false">HOUR(TIMEVALUE(L770))</f>
        <v>16</v>
      </c>
      <c r="T770" s="0" t="str">
        <f aca="false">IF(S770&lt;12,"Morning",IF(S770&lt;17,"Afternoon","Evening"))</f>
        <v>Afternoon</v>
      </c>
      <c r="U770" s="16" t="n">
        <f aca="false">G770*H770*0.05</f>
        <v>3.231</v>
      </c>
    </row>
    <row r="771" customFormat="false" ht="15" hidden="false" customHeight="false" outlineLevel="0" collapsed="false">
      <c r="A771" s="0" t="s">
        <v>1275</v>
      </c>
      <c r="B771" s="0" t="s">
        <v>29</v>
      </c>
      <c r="C771" s="0" t="s">
        <v>56</v>
      </c>
      <c r="D771" s="0" t="s">
        <v>21</v>
      </c>
      <c r="E771" s="0" t="s">
        <v>60</v>
      </c>
      <c r="F771" s="0" t="s">
        <v>37</v>
      </c>
      <c r="G771" s="16" t="n">
        <v>66.71</v>
      </c>
      <c r="H771" s="0" t="n">
        <v>9</v>
      </c>
      <c r="I771" s="16" t="n">
        <f aca="false">G771*H771*0.05</f>
        <v>30.0195</v>
      </c>
      <c r="J771" s="16" t="n">
        <f aca="false">G771*H771*1.05</f>
        <v>630.4095</v>
      </c>
      <c r="K771" s="17" t="n">
        <v>43533</v>
      </c>
      <c r="L771" s="14" t="s">
        <v>804</v>
      </c>
      <c r="M771" s="14" t="s">
        <v>26</v>
      </c>
      <c r="N771" s="16" t="n">
        <f aca="false">G771*H771</f>
        <v>600.39</v>
      </c>
      <c r="O771" s="18" t="n">
        <v>4.761904762</v>
      </c>
      <c r="P771" s="16" t="n">
        <f aca="false">I771</f>
        <v>30.0195</v>
      </c>
      <c r="Q771" s="19" t="n">
        <v>5.6</v>
      </c>
      <c r="R771" s="0" t="str">
        <f aca="false">TEXT(K771,"mmm yyyy")</f>
        <v>Mar 2019</v>
      </c>
      <c r="S771" s="14" t="n">
        <f aca="false">HOUR(TIMEVALUE(L771))</f>
        <v>13</v>
      </c>
      <c r="T771" s="0" t="str">
        <f aca="false">IF(S771&lt;12,"Morning",IF(S771&lt;17,"Afternoon","Evening"))</f>
        <v>Afternoon</v>
      </c>
      <c r="U771" s="16" t="n">
        <f aca="false">G771*H771*0.05</f>
        <v>30.0195</v>
      </c>
    </row>
    <row r="772" customFormat="false" ht="15" hidden="false" customHeight="false" outlineLevel="0" collapsed="false">
      <c r="A772" s="0" t="s">
        <v>1276</v>
      </c>
      <c r="B772" s="0" t="s">
        <v>29</v>
      </c>
      <c r="C772" s="0" t="s">
        <v>56</v>
      </c>
      <c r="D772" s="0" t="s">
        <v>21</v>
      </c>
      <c r="E772" s="0" t="s">
        <v>57</v>
      </c>
      <c r="F772" s="0" t="s">
        <v>36</v>
      </c>
      <c r="G772" s="16" t="n">
        <v>25.29</v>
      </c>
      <c r="H772" s="0" t="n">
        <v>3</v>
      </c>
      <c r="I772" s="16" t="n">
        <f aca="false">G772*H772*0.05</f>
        <v>3.7935</v>
      </c>
      <c r="J772" s="16" t="n">
        <f aca="false">G772*H772*1.05</f>
        <v>79.6635</v>
      </c>
      <c r="K772" s="17" t="n">
        <v>43533</v>
      </c>
      <c r="L772" s="14" t="s">
        <v>1277</v>
      </c>
      <c r="M772" s="14" t="s">
        <v>34</v>
      </c>
      <c r="N772" s="16" t="n">
        <f aca="false">G772*H772</f>
        <v>75.87</v>
      </c>
      <c r="O772" s="18" t="n">
        <v>4.761904762</v>
      </c>
      <c r="P772" s="16" t="n">
        <f aca="false">I772</f>
        <v>3.7935</v>
      </c>
      <c r="Q772" s="19" t="n">
        <v>6.4</v>
      </c>
      <c r="R772" s="0" t="str">
        <f aca="false">TEXT(K772,"mmm yyyy")</f>
        <v>Mar 2019</v>
      </c>
      <c r="S772" s="14" t="n">
        <f aca="false">HOUR(TIMEVALUE(L772))</f>
        <v>15</v>
      </c>
      <c r="T772" s="0" t="str">
        <f aca="false">IF(S772&lt;12,"Morning",IF(S772&lt;17,"Afternoon","Evening"))</f>
        <v>Afternoon</v>
      </c>
      <c r="U772" s="16" t="n">
        <f aca="false">G772*H772*0.05</f>
        <v>3.7935</v>
      </c>
    </row>
    <row r="773" customFormat="false" ht="15" hidden="false" customHeight="false" outlineLevel="0" collapsed="false">
      <c r="A773" s="0" t="s">
        <v>1278</v>
      </c>
      <c r="B773" s="0" t="s">
        <v>25</v>
      </c>
      <c r="C773" s="0" t="s">
        <v>68</v>
      </c>
      <c r="D773" s="0" t="s">
        <v>22</v>
      </c>
      <c r="E773" s="0" t="s">
        <v>60</v>
      </c>
      <c r="F773" s="0" t="s">
        <v>31</v>
      </c>
      <c r="G773" s="16" t="n">
        <v>30.4</v>
      </c>
      <c r="H773" s="0" t="n">
        <v>7</v>
      </c>
      <c r="I773" s="16" t="n">
        <f aca="false">G773*H773*0.05</f>
        <v>10.64</v>
      </c>
      <c r="J773" s="16" t="n">
        <f aca="false">G773*H773*1.05</f>
        <v>223.44</v>
      </c>
      <c r="K773" s="17" t="n">
        <v>43533</v>
      </c>
      <c r="L773" s="14" t="s">
        <v>686</v>
      </c>
      <c r="M773" s="14" t="s">
        <v>26</v>
      </c>
      <c r="N773" s="16" t="n">
        <f aca="false">G773*H773</f>
        <v>212.8</v>
      </c>
      <c r="O773" s="18" t="n">
        <v>4.761904762</v>
      </c>
      <c r="P773" s="16" t="n">
        <f aca="false">I773</f>
        <v>10.64</v>
      </c>
      <c r="Q773" s="19" t="n">
        <v>8.9</v>
      </c>
      <c r="R773" s="0" t="str">
        <f aca="false">TEXT(K773,"mmm yyyy")</f>
        <v>Mar 2019</v>
      </c>
      <c r="S773" s="14" t="n">
        <f aca="false">HOUR(TIMEVALUE(L773))</f>
        <v>18</v>
      </c>
      <c r="T773" s="0" t="str">
        <f aca="false">IF(S773&lt;12,"Morning",IF(S773&lt;17,"Afternoon","Evening"))</f>
        <v>Evening</v>
      </c>
      <c r="U773" s="16" t="n">
        <f aca="false">G773*H773*0.05</f>
        <v>10.64</v>
      </c>
    </row>
    <row r="774" customFormat="false" ht="15" hidden="false" customHeight="false" outlineLevel="0" collapsed="false">
      <c r="A774" s="0" t="s">
        <v>1279</v>
      </c>
      <c r="B774" s="0" t="s">
        <v>33</v>
      </c>
      <c r="C774" s="0" t="s">
        <v>65</v>
      </c>
      <c r="D774" s="0" t="s">
        <v>21</v>
      </c>
      <c r="E774" s="0" t="s">
        <v>57</v>
      </c>
      <c r="F774" s="0" t="s">
        <v>37</v>
      </c>
      <c r="G774" s="16" t="n">
        <v>78.49</v>
      </c>
      <c r="H774" s="0" t="n">
        <v>1</v>
      </c>
      <c r="I774" s="16" t="n">
        <f aca="false">G774*H774*0.05</f>
        <v>3.9245</v>
      </c>
      <c r="J774" s="16" t="n">
        <f aca="false">G774*H774*1.05</f>
        <v>82.4145</v>
      </c>
      <c r="K774" s="17" t="n">
        <v>43533</v>
      </c>
      <c r="L774" s="14" t="s">
        <v>970</v>
      </c>
      <c r="M774" s="14" t="s">
        <v>26</v>
      </c>
      <c r="N774" s="16" t="n">
        <f aca="false">G774*H774</f>
        <v>78.49</v>
      </c>
      <c r="O774" s="18" t="n">
        <v>4.761904762</v>
      </c>
      <c r="P774" s="16" t="n">
        <f aca="false">I774</f>
        <v>3.9245</v>
      </c>
      <c r="Q774" s="19" t="n">
        <v>6.9</v>
      </c>
      <c r="R774" s="0" t="str">
        <f aca="false">TEXT(K774,"mmm yyyy")</f>
        <v>Mar 2019</v>
      </c>
      <c r="S774" s="14" t="n">
        <f aca="false">HOUR(TIMEVALUE(L774))</f>
        <v>18</v>
      </c>
      <c r="T774" s="0" t="str">
        <f aca="false">IF(S774&lt;12,"Morning",IF(S774&lt;17,"Afternoon","Evening"))</f>
        <v>Evening</v>
      </c>
      <c r="U774" s="16" t="n">
        <f aca="false">G774*H774*0.05</f>
        <v>3.9245</v>
      </c>
    </row>
    <row r="775" customFormat="false" ht="15" hidden="false" customHeight="false" outlineLevel="0" collapsed="false">
      <c r="A775" s="0" t="s">
        <v>1280</v>
      </c>
      <c r="B775" s="0" t="s">
        <v>33</v>
      </c>
      <c r="C775" s="0" t="s">
        <v>65</v>
      </c>
      <c r="D775" s="0" t="s">
        <v>21</v>
      </c>
      <c r="E775" s="0" t="s">
        <v>60</v>
      </c>
      <c r="F775" s="0" t="s">
        <v>27</v>
      </c>
      <c r="G775" s="16" t="n">
        <v>44.12</v>
      </c>
      <c r="H775" s="0" t="n">
        <v>5</v>
      </c>
      <c r="I775" s="16" t="n">
        <f aca="false">G775*H775*0.05</f>
        <v>11.03</v>
      </c>
      <c r="J775" s="16" t="n">
        <f aca="false">G775*H775*1.05</f>
        <v>231.63</v>
      </c>
      <c r="K775" s="17" t="n">
        <v>43533</v>
      </c>
      <c r="L775" s="14" t="s">
        <v>987</v>
      </c>
      <c r="M775" s="14" t="s">
        <v>34</v>
      </c>
      <c r="N775" s="16" t="n">
        <f aca="false">G775*H775</f>
        <v>220.6</v>
      </c>
      <c r="O775" s="18" t="n">
        <v>4.761904762</v>
      </c>
      <c r="P775" s="16" t="n">
        <f aca="false">I775</f>
        <v>11.03</v>
      </c>
      <c r="Q775" s="19" t="n">
        <v>5.2</v>
      </c>
      <c r="R775" s="0" t="str">
        <f aca="false">TEXT(K775,"mmm yyyy")</f>
        <v>Mar 2019</v>
      </c>
      <c r="S775" s="14" t="n">
        <f aca="false">HOUR(TIMEVALUE(L775))</f>
        <v>11</v>
      </c>
      <c r="T775" s="0" t="str">
        <f aca="false">IF(S775&lt;12,"Morning",IF(S775&lt;17,"Afternoon","Evening"))</f>
        <v>Morning</v>
      </c>
      <c r="U775" s="16" t="n">
        <f aca="false">G775*H775*0.05</f>
        <v>11.03</v>
      </c>
    </row>
    <row r="776" customFormat="false" ht="15" hidden="false" customHeight="false" outlineLevel="0" collapsed="false">
      <c r="A776" s="0" t="s">
        <v>1281</v>
      </c>
      <c r="B776" s="0" t="s">
        <v>29</v>
      </c>
      <c r="C776" s="0" t="s">
        <v>56</v>
      </c>
      <c r="D776" s="0" t="s">
        <v>21</v>
      </c>
      <c r="E776" s="0" t="s">
        <v>60</v>
      </c>
      <c r="F776" s="0" t="s">
        <v>37</v>
      </c>
      <c r="G776" s="16" t="n">
        <v>43.96</v>
      </c>
      <c r="H776" s="0" t="n">
        <v>6</v>
      </c>
      <c r="I776" s="16" t="n">
        <f aca="false">G776*H776*0.05</f>
        <v>13.188</v>
      </c>
      <c r="J776" s="16" t="n">
        <f aca="false">G776*H776*1.05</f>
        <v>276.948</v>
      </c>
      <c r="K776" s="17" t="n">
        <v>43533</v>
      </c>
      <c r="L776" s="14" t="s">
        <v>718</v>
      </c>
      <c r="M776" s="14" t="s">
        <v>26</v>
      </c>
      <c r="N776" s="16" t="n">
        <f aca="false">G776*H776</f>
        <v>263.76</v>
      </c>
      <c r="O776" s="18" t="n">
        <v>4.761904762</v>
      </c>
      <c r="P776" s="16" t="n">
        <f aca="false">I776</f>
        <v>13.188</v>
      </c>
      <c r="Q776" s="19" t="n">
        <v>5.7</v>
      </c>
      <c r="R776" s="0" t="str">
        <f aca="false">TEXT(K776,"mmm yyyy")</f>
        <v>Mar 2019</v>
      </c>
      <c r="S776" s="14" t="n">
        <f aca="false">HOUR(TIMEVALUE(L776))</f>
        <v>18</v>
      </c>
      <c r="T776" s="0" t="str">
        <f aca="false">IF(S776&lt;12,"Morning",IF(S776&lt;17,"Afternoon","Evening"))</f>
        <v>Evening</v>
      </c>
      <c r="U776" s="16" t="n">
        <f aca="false">G776*H776*0.05</f>
        <v>13.188</v>
      </c>
    </row>
    <row r="777" customFormat="false" ht="15" hidden="false" customHeight="false" outlineLevel="0" collapsed="false">
      <c r="A777" s="0" t="s">
        <v>1282</v>
      </c>
      <c r="B777" s="0" t="s">
        <v>25</v>
      </c>
      <c r="C777" s="0" t="s">
        <v>68</v>
      </c>
      <c r="D777" s="0" t="s">
        <v>22</v>
      </c>
      <c r="E777" s="0" t="s">
        <v>57</v>
      </c>
      <c r="F777" s="0" t="s">
        <v>31</v>
      </c>
      <c r="G777" s="16" t="n">
        <v>65.56</v>
      </c>
      <c r="H777" s="0" t="n">
        <v>9</v>
      </c>
      <c r="I777" s="16" t="n">
        <f aca="false">G777*H777*0.05</f>
        <v>29.502</v>
      </c>
      <c r="J777" s="16" t="n">
        <f aca="false">G777*H777*1.05</f>
        <v>619.542</v>
      </c>
      <c r="K777" s="17" t="n">
        <v>43533</v>
      </c>
      <c r="L777" s="14" t="s">
        <v>95</v>
      </c>
      <c r="M777" s="14" t="s">
        <v>34</v>
      </c>
      <c r="N777" s="16" t="n">
        <f aca="false">G777*H777</f>
        <v>590.04</v>
      </c>
      <c r="O777" s="18" t="n">
        <v>4.761904762</v>
      </c>
      <c r="P777" s="16" t="n">
        <f aca="false">I777</f>
        <v>29.502</v>
      </c>
      <c r="Q777" s="19" t="n">
        <v>9.1</v>
      </c>
      <c r="R777" s="0" t="str">
        <f aca="false">TEXT(K777,"mmm yyyy")</f>
        <v>Mar 2019</v>
      </c>
      <c r="S777" s="14" t="n">
        <f aca="false">HOUR(TIMEVALUE(L777))</f>
        <v>19</v>
      </c>
      <c r="T777" s="0" t="str">
        <f aca="false">IF(S777&lt;12,"Morning",IF(S777&lt;17,"Afternoon","Evening"))</f>
        <v>Evening</v>
      </c>
      <c r="U777" s="16" t="n">
        <f aca="false">G777*H777*0.05</f>
        <v>29.502</v>
      </c>
    </row>
    <row r="778" customFormat="false" ht="15" hidden="false" customHeight="false" outlineLevel="0" collapsed="false">
      <c r="A778" s="0" t="s">
        <v>1283</v>
      </c>
      <c r="B778" s="0" t="s">
        <v>33</v>
      </c>
      <c r="C778" s="0" t="s">
        <v>65</v>
      </c>
      <c r="D778" s="0" t="s">
        <v>22</v>
      </c>
      <c r="E778" s="0" t="s">
        <v>57</v>
      </c>
      <c r="F778" s="0" t="s">
        <v>36</v>
      </c>
      <c r="G778" s="16" t="n">
        <v>41.16</v>
      </c>
      <c r="H778" s="0" t="n">
        <v>6</v>
      </c>
      <c r="I778" s="16" t="n">
        <f aca="false">G778*H778*0.05</f>
        <v>12.348</v>
      </c>
      <c r="J778" s="16" t="n">
        <f aca="false">G778*H778*1.05</f>
        <v>259.308</v>
      </c>
      <c r="K778" s="17" t="n">
        <v>43533</v>
      </c>
      <c r="L778" s="14" t="s">
        <v>1284</v>
      </c>
      <c r="M778" s="14" t="s">
        <v>26</v>
      </c>
      <c r="N778" s="16" t="n">
        <f aca="false">G778*H778</f>
        <v>246.96</v>
      </c>
      <c r="O778" s="18" t="n">
        <v>4.761904762</v>
      </c>
      <c r="P778" s="16" t="n">
        <f aca="false">I778</f>
        <v>12.348</v>
      </c>
      <c r="Q778" s="19" t="n">
        <v>9.4</v>
      </c>
      <c r="R778" s="0" t="str">
        <f aca="false">TEXT(K778,"mmm yyyy")</f>
        <v>Mar 2019</v>
      </c>
      <c r="S778" s="14" t="n">
        <f aca="false">HOUR(TIMEVALUE(L778))</f>
        <v>16</v>
      </c>
      <c r="T778" s="0" t="str">
        <f aca="false">IF(S778&lt;12,"Morning",IF(S778&lt;17,"Afternoon","Evening"))</f>
        <v>Afternoon</v>
      </c>
      <c r="U778" s="16" t="n">
        <f aca="false">G778*H778*0.05</f>
        <v>12.348</v>
      </c>
    </row>
    <row r="779" customFormat="false" ht="15" hidden="false" customHeight="false" outlineLevel="0" collapsed="false">
      <c r="A779" s="0" t="s">
        <v>1285</v>
      </c>
      <c r="B779" s="0" t="s">
        <v>29</v>
      </c>
      <c r="C779" s="0" t="s">
        <v>56</v>
      </c>
      <c r="D779" s="0" t="s">
        <v>22</v>
      </c>
      <c r="E779" s="0" t="s">
        <v>57</v>
      </c>
      <c r="F779" s="0" t="s">
        <v>23</v>
      </c>
      <c r="G779" s="16" t="n">
        <v>42.45</v>
      </c>
      <c r="H779" s="0" t="n">
        <v>8</v>
      </c>
      <c r="I779" s="16" t="n">
        <f aca="false">G779*H779*0.05</f>
        <v>16.98</v>
      </c>
      <c r="J779" s="16" t="n">
        <f aca="false">G779*H779*1.05</f>
        <v>356.58</v>
      </c>
      <c r="K779" s="17" t="n">
        <v>43533</v>
      </c>
      <c r="L779" s="14" t="s">
        <v>1184</v>
      </c>
      <c r="M779" s="14" t="s">
        <v>30</v>
      </c>
      <c r="N779" s="16" t="n">
        <f aca="false">G779*H779</f>
        <v>339.6</v>
      </c>
      <c r="O779" s="18" t="n">
        <v>4.761904762</v>
      </c>
      <c r="P779" s="16" t="n">
        <f aca="false">I779</f>
        <v>16.98</v>
      </c>
      <c r="Q779" s="19" t="n">
        <v>5</v>
      </c>
      <c r="R779" s="0" t="str">
        <f aca="false">TEXT(K779,"mmm yyyy")</f>
        <v>Mar 2019</v>
      </c>
      <c r="S779" s="14" t="n">
        <f aca="false">HOUR(TIMEVALUE(L779))</f>
        <v>20</v>
      </c>
      <c r="T779" s="0" t="str">
        <f aca="false">IF(S779&lt;12,"Morning",IF(S779&lt;17,"Afternoon","Evening"))</f>
        <v>Evening</v>
      </c>
      <c r="U779" s="16" t="n">
        <f aca="false">G779*H779*0.05</f>
        <v>16.98</v>
      </c>
    </row>
    <row r="780" customFormat="false" ht="15" hidden="false" customHeight="false" outlineLevel="0" collapsed="false">
      <c r="A780" s="0" t="s">
        <v>1286</v>
      </c>
      <c r="B780" s="0" t="s">
        <v>33</v>
      </c>
      <c r="C780" s="0" t="s">
        <v>65</v>
      </c>
      <c r="D780" s="0" t="s">
        <v>21</v>
      </c>
      <c r="E780" s="0" t="s">
        <v>60</v>
      </c>
      <c r="F780" s="0" t="s">
        <v>23</v>
      </c>
      <c r="G780" s="16" t="n">
        <v>40.48</v>
      </c>
      <c r="H780" s="0" t="n">
        <v>5</v>
      </c>
      <c r="I780" s="16" t="n">
        <f aca="false">G780*H780*0.05</f>
        <v>10.12</v>
      </c>
      <c r="J780" s="16" t="n">
        <f aca="false">G780*H780*1.05</f>
        <v>212.52</v>
      </c>
      <c r="K780" s="17" t="n">
        <v>43533</v>
      </c>
      <c r="L780" s="14" t="s">
        <v>250</v>
      </c>
      <c r="M780" s="14" t="s">
        <v>26</v>
      </c>
      <c r="N780" s="16" t="n">
        <f aca="false">G780*H780</f>
        <v>202.4</v>
      </c>
      <c r="O780" s="18" t="n">
        <v>4.761904762</v>
      </c>
      <c r="P780" s="16" t="n">
        <f aca="false">I780</f>
        <v>10.12</v>
      </c>
      <c r="Q780" s="19" t="n">
        <v>5.9</v>
      </c>
      <c r="R780" s="0" t="str">
        <f aca="false">TEXT(K780,"mmm yyyy")</f>
        <v>Mar 2019</v>
      </c>
      <c r="S780" s="14" t="n">
        <f aca="false">HOUR(TIMEVALUE(L780))</f>
        <v>19</v>
      </c>
      <c r="T780" s="0" t="str">
        <f aca="false">IF(S780&lt;12,"Morning",IF(S780&lt;17,"Afternoon","Evening"))</f>
        <v>Evening</v>
      </c>
      <c r="U780" s="16" t="n">
        <f aca="false">G780*H780*0.05</f>
        <v>10.12</v>
      </c>
    </row>
    <row r="781" customFormat="false" ht="15" hidden="false" customHeight="false" outlineLevel="0" collapsed="false">
      <c r="A781" s="0" t="s">
        <v>1287</v>
      </c>
      <c r="B781" s="0" t="s">
        <v>25</v>
      </c>
      <c r="C781" s="0" t="s">
        <v>68</v>
      </c>
      <c r="D781" s="0" t="s">
        <v>22</v>
      </c>
      <c r="E781" s="0" t="s">
        <v>57</v>
      </c>
      <c r="F781" s="0" t="s">
        <v>35</v>
      </c>
      <c r="G781" s="16" t="n">
        <v>10.6</v>
      </c>
      <c r="H781" s="0" t="n">
        <v>6</v>
      </c>
      <c r="I781" s="16" t="n">
        <f aca="false">G781*H781*0.05</f>
        <v>3.18</v>
      </c>
      <c r="J781" s="16" t="n">
        <f aca="false">G781*H781*1.05</f>
        <v>66.78</v>
      </c>
      <c r="K781" s="17" t="n">
        <v>43534</v>
      </c>
      <c r="L781" s="14" t="s">
        <v>1288</v>
      </c>
      <c r="M781" s="14" t="s">
        <v>34</v>
      </c>
      <c r="N781" s="16" t="n">
        <f aca="false">G781*H781</f>
        <v>63.6</v>
      </c>
      <c r="O781" s="18" t="n">
        <v>4.761904762</v>
      </c>
      <c r="P781" s="16" t="n">
        <f aca="false">I781</f>
        <v>3.18</v>
      </c>
      <c r="Q781" s="19" t="n">
        <v>7.5</v>
      </c>
      <c r="R781" s="0" t="str">
        <f aca="false">TEXT(K781,"mmm yyyy")</f>
        <v>Mar 2019</v>
      </c>
      <c r="S781" s="14" t="n">
        <f aca="false">HOUR(TIMEVALUE(L781))</f>
        <v>20</v>
      </c>
      <c r="T781" s="0" t="str">
        <f aca="false">IF(S781&lt;12,"Morning",IF(S781&lt;17,"Afternoon","Evening"))</f>
        <v>Evening</v>
      </c>
      <c r="U781" s="16" t="n">
        <f aca="false">G781*H781*0.05</f>
        <v>3.18</v>
      </c>
    </row>
    <row r="782" customFormat="false" ht="15" hidden="false" customHeight="false" outlineLevel="0" collapsed="false">
      <c r="A782" s="0" t="s">
        <v>1289</v>
      </c>
      <c r="B782" s="0" t="s">
        <v>33</v>
      </c>
      <c r="C782" s="0" t="s">
        <v>65</v>
      </c>
      <c r="D782" s="0" t="s">
        <v>21</v>
      </c>
      <c r="E782" s="0" t="s">
        <v>57</v>
      </c>
      <c r="F782" s="0" t="s">
        <v>31</v>
      </c>
      <c r="G782" s="16" t="n">
        <v>94.38</v>
      </c>
      <c r="H782" s="0" t="n">
        <v>7</v>
      </c>
      <c r="I782" s="16" t="n">
        <f aca="false">G782*H782*0.05</f>
        <v>33.033</v>
      </c>
      <c r="J782" s="16" t="n">
        <f aca="false">G782*H782*1.05</f>
        <v>693.693</v>
      </c>
      <c r="K782" s="17" t="n">
        <v>43534</v>
      </c>
      <c r="L782" s="14" t="s">
        <v>1046</v>
      </c>
      <c r="M782" s="14" t="s">
        <v>30</v>
      </c>
      <c r="N782" s="16" t="n">
        <f aca="false">G782*H782</f>
        <v>660.66</v>
      </c>
      <c r="O782" s="18" t="n">
        <v>4.761904762</v>
      </c>
      <c r="P782" s="16" t="n">
        <f aca="false">I782</f>
        <v>33.033</v>
      </c>
      <c r="Q782" s="19" t="n">
        <v>5.7</v>
      </c>
      <c r="R782" s="0" t="str">
        <f aca="false">TEXT(K782,"mmm yyyy")</f>
        <v>Mar 2019</v>
      </c>
      <c r="S782" s="14" t="n">
        <f aca="false">HOUR(TIMEVALUE(L782))</f>
        <v>18</v>
      </c>
      <c r="T782" s="0" t="str">
        <f aca="false">IF(S782&lt;12,"Morning",IF(S782&lt;17,"Afternoon","Evening"))</f>
        <v>Evening</v>
      </c>
      <c r="U782" s="16" t="n">
        <f aca="false">G782*H782*0.05</f>
        <v>33.033</v>
      </c>
    </row>
    <row r="783" customFormat="false" ht="15" hidden="false" customHeight="false" outlineLevel="0" collapsed="false">
      <c r="A783" s="0" t="s">
        <v>1290</v>
      </c>
      <c r="B783" s="0" t="s">
        <v>33</v>
      </c>
      <c r="C783" s="0" t="s">
        <v>65</v>
      </c>
      <c r="D783" s="0" t="s">
        <v>22</v>
      </c>
      <c r="E783" s="0" t="s">
        <v>57</v>
      </c>
      <c r="F783" s="0" t="s">
        <v>31</v>
      </c>
      <c r="G783" s="16" t="n">
        <v>43.78</v>
      </c>
      <c r="H783" s="0" t="n">
        <v>2</v>
      </c>
      <c r="I783" s="16" t="n">
        <f aca="false">G783*H783*0.05</f>
        <v>4.378</v>
      </c>
      <c r="J783" s="16" t="n">
        <f aca="false">G783*H783*1.05</f>
        <v>91.938</v>
      </c>
      <c r="K783" s="17" t="n">
        <v>43534</v>
      </c>
      <c r="L783" s="14" t="s">
        <v>407</v>
      </c>
      <c r="M783" s="14" t="s">
        <v>26</v>
      </c>
      <c r="N783" s="16" t="n">
        <f aca="false">G783*H783</f>
        <v>87.56</v>
      </c>
      <c r="O783" s="18" t="n">
        <v>4.761904762</v>
      </c>
      <c r="P783" s="16" t="n">
        <f aca="false">I783</f>
        <v>4.378</v>
      </c>
      <c r="Q783" s="19" t="n">
        <v>6.3</v>
      </c>
      <c r="R783" s="0" t="str">
        <f aca="false">TEXT(K783,"mmm yyyy")</f>
        <v>Mar 2019</v>
      </c>
      <c r="S783" s="14" t="n">
        <f aca="false">HOUR(TIMEVALUE(L783))</f>
        <v>11</v>
      </c>
      <c r="T783" s="0" t="str">
        <f aca="false">IF(S783&lt;12,"Morning",IF(S783&lt;17,"Afternoon","Evening"))</f>
        <v>Morning</v>
      </c>
      <c r="U783" s="16" t="n">
        <f aca="false">G783*H783*0.05</f>
        <v>4.378</v>
      </c>
    </row>
    <row r="784" customFormat="false" ht="15" hidden="false" customHeight="false" outlineLevel="0" collapsed="false">
      <c r="A784" s="0" t="s">
        <v>1291</v>
      </c>
      <c r="B784" s="0" t="s">
        <v>29</v>
      </c>
      <c r="C784" s="0" t="s">
        <v>56</v>
      </c>
      <c r="D784" s="0" t="s">
        <v>22</v>
      </c>
      <c r="E784" s="0" t="s">
        <v>57</v>
      </c>
      <c r="F784" s="0" t="s">
        <v>35</v>
      </c>
      <c r="G784" s="16" t="n">
        <v>79.56</v>
      </c>
      <c r="H784" s="0" t="n">
        <v>5</v>
      </c>
      <c r="I784" s="16" t="n">
        <f aca="false">G784*H784*0.05</f>
        <v>19.89</v>
      </c>
      <c r="J784" s="16" t="n">
        <f aca="false">G784*H784*1.05</f>
        <v>417.69</v>
      </c>
      <c r="K784" s="17" t="n">
        <v>43534</v>
      </c>
      <c r="L784" s="14" t="s">
        <v>1292</v>
      </c>
      <c r="M784" s="14" t="s">
        <v>26</v>
      </c>
      <c r="N784" s="16" t="n">
        <f aca="false">G784*H784</f>
        <v>397.8</v>
      </c>
      <c r="O784" s="18" t="n">
        <v>4.761904762</v>
      </c>
      <c r="P784" s="16" t="n">
        <f aca="false">I784</f>
        <v>19.89</v>
      </c>
      <c r="Q784" s="19" t="n">
        <v>9.7</v>
      </c>
      <c r="R784" s="0" t="str">
        <f aca="false">TEXT(K784,"mmm yyyy")</f>
        <v>Mar 2019</v>
      </c>
      <c r="S784" s="14" t="n">
        <f aca="false">HOUR(TIMEVALUE(L784))</f>
        <v>13</v>
      </c>
      <c r="T784" s="0" t="str">
        <f aca="false">IF(S784&lt;12,"Morning",IF(S784&lt;17,"Afternoon","Evening"))</f>
        <v>Afternoon</v>
      </c>
      <c r="U784" s="16" t="n">
        <f aca="false">G784*H784*0.05</f>
        <v>19.89</v>
      </c>
    </row>
    <row r="785" customFormat="false" ht="15" hidden="false" customHeight="false" outlineLevel="0" collapsed="false">
      <c r="A785" s="0" t="s">
        <v>1293</v>
      </c>
      <c r="B785" s="0" t="s">
        <v>29</v>
      </c>
      <c r="C785" s="0" t="s">
        <v>56</v>
      </c>
      <c r="D785" s="0" t="s">
        <v>22</v>
      </c>
      <c r="E785" s="0" t="s">
        <v>60</v>
      </c>
      <c r="F785" s="0" t="s">
        <v>31</v>
      </c>
      <c r="G785" s="16" t="n">
        <v>71.05</v>
      </c>
      <c r="H785" s="0" t="n">
        <v>1</v>
      </c>
      <c r="I785" s="16" t="n">
        <f aca="false">G785*H785*0.05</f>
        <v>3.5525</v>
      </c>
      <c r="J785" s="16" t="n">
        <f aca="false">G785*H785*1.05</f>
        <v>74.6025</v>
      </c>
      <c r="K785" s="17" t="n">
        <v>43534</v>
      </c>
      <c r="L785" s="14" t="s">
        <v>847</v>
      </c>
      <c r="M785" s="14" t="s">
        <v>30</v>
      </c>
      <c r="N785" s="16" t="n">
        <f aca="false">G785*H785</f>
        <v>71.05</v>
      </c>
      <c r="O785" s="18" t="n">
        <v>4.761904762</v>
      </c>
      <c r="P785" s="16" t="n">
        <f aca="false">I785</f>
        <v>3.5525</v>
      </c>
      <c r="Q785" s="19" t="n">
        <v>6.4</v>
      </c>
      <c r="R785" s="0" t="str">
        <f aca="false">TEXT(K785,"mmm yyyy")</f>
        <v>Mar 2019</v>
      </c>
      <c r="S785" s="14" t="n">
        <f aca="false">HOUR(TIMEVALUE(L785))</f>
        <v>17</v>
      </c>
      <c r="T785" s="0" t="str">
        <f aca="false">IF(S785&lt;12,"Morning",IF(S785&lt;17,"Afternoon","Evening"))</f>
        <v>Evening</v>
      </c>
      <c r="U785" s="16" t="n">
        <f aca="false">G785*H785*0.05</f>
        <v>3.5525</v>
      </c>
    </row>
    <row r="786" customFormat="false" ht="15" hidden="false" customHeight="false" outlineLevel="0" collapsed="false">
      <c r="A786" s="0" t="s">
        <v>1294</v>
      </c>
      <c r="B786" s="0" t="s">
        <v>25</v>
      </c>
      <c r="C786" s="0" t="s">
        <v>68</v>
      </c>
      <c r="D786" s="0" t="s">
        <v>22</v>
      </c>
      <c r="E786" s="0" t="s">
        <v>57</v>
      </c>
      <c r="F786" s="0" t="s">
        <v>36</v>
      </c>
      <c r="G786" s="16" t="n">
        <v>34.95</v>
      </c>
      <c r="H786" s="0" t="n">
        <v>4</v>
      </c>
      <c r="I786" s="16" t="n">
        <f aca="false">G786*H786*0.05</f>
        <v>6.99</v>
      </c>
      <c r="J786" s="16" t="n">
        <f aca="false">G786*H786*1.05</f>
        <v>146.79</v>
      </c>
      <c r="K786" s="17" t="n">
        <v>43534</v>
      </c>
      <c r="L786" s="14" t="s">
        <v>941</v>
      </c>
      <c r="M786" s="14" t="s">
        <v>34</v>
      </c>
      <c r="N786" s="16" t="n">
        <f aca="false">G786*H786</f>
        <v>139.8</v>
      </c>
      <c r="O786" s="18" t="n">
        <v>4.761904762</v>
      </c>
      <c r="P786" s="16" t="n">
        <f aca="false">I786</f>
        <v>6.99</v>
      </c>
      <c r="Q786" s="19" t="n">
        <v>4.4</v>
      </c>
      <c r="R786" s="0" t="str">
        <f aca="false">TEXT(K786,"mmm yyyy")</f>
        <v>Mar 2019</v>
      </c>
      <c r="S786" s="14" t="n">
        <f aca="false">HOUR(TIMEVALUE(L786))</f>
        <v>20</v>
      </c>
      <c r="T786" s="0" t="str">
        <f aca="false">IF(S786&lt;12,"Morning",IF(S786&lt;17,"Afternoon","Evening"))</f>
        <v>Evening</v>
      </c>
      <c r="U786" s="16" t="n">
        <f aca="false">G786*H786*0.05</f>
        <v>6.99</v>
      </c>
    </row>
    <row r="787" customFormat="false" ht="15" hidden="false" customHeight="false" outlineLevel="0" collapsed="false">
      <c r="A787" s="0" t="s">
        <v>1295</v>
      </c>
      <c r="B787" s="0" t="s">
        <v>25</v>
      </c>
      <c r="C787" s="0" t="s">
        <v>68</v>
      </c>
      <c r="D787" s="0" t="s">
        <v>22</v>
      </c>
      <c r="E787" s="0" t="s">
        <v>60</v>
      </c>
      <c r="F787" s="0" t="s">
        <v>35</v>
      </c>
      <c r="G787" s="16" t="n">
        <v>23.82</v>
      </c>
      <c r="H787" s="0" t="n">
        <v>8</v>
      </c>
      <c r="I787" s="16" t="n">
        <f aca="false">G787*H787*0.05</f>
        <v>9.528</v>
      </c>
      <c r="J787" s="16" t="n">
        <f aca="false">G787*H787*1.05</f>
        <v>200.088</v>
      </c>
      <c r="K787" s="17" t="n">
        <v>43534</v>
      </c>
      <c r="L787" s="14" t="s">
        <v>419</v>
      </c>
      <c r="M787" s="14" t="s">
        <v>30</v>
      </c>
      <c r="N787" s="16" t="n">
        <f aca="false">G787*H787</f>
        <v>190.56</v>
      </c>
      <c r="O787" s="18" t="n">
        <v>4.761904762</v>
      </c>
      <c r="P787" s="16" t="n">
        <f aca="false">I787</f>
        <v>9.528</v>
      </c>
      <c r="Q787" s="19" t="n">
        <v>5.8</v>
      </c>
      <c r="R787" s="0" t="str">
        <f aca="false">TEXT(K787,"mmm yyyy")</f>
        <v>Mar 2019</v>
      </c>
      <c r="S787" s="14" t="n">
        <f aca="false">HOUR(TIMEVALUE(L787))</f>
        <v>10</v>
      </c>
      <c r="T787" s="0" t="str">
        <f aca="false">IF(S787&lt;12,"Morning",IF(S787&lt;17,"Afternoon","Evening"))</f>
        <v>Morning</v>
      </c>
      <c r="U787" s="16" t="n">
        <f aca="false">G787*H787*0.05</f>
        <v>9.528</v>
      </c>
    </row>
    <row r="788" customFormat="false" ht="15" hidden="false" customHeight="false" outlineLevel="0" collapsed="false">
      <c r="A788" s="0" t="s">
        <v>1296</v>
      </c>
      <c r="B788" s="0" t="s">
        <v>29</v>
      </c>
      <c r="C788" s="0" t="s">
        <v>56</v>
      </c>
      <c r="D788" s="0" t="s">
        <v>22</v>
      </c>
      <c r="E788" s="0" t="s">
        <v>57</v>
      </c>
      <c r="F788" s="0" t="s">
        <v>27</v>
      </c>
      <c r="G788" s="16" t="n">
        <v>50.25</v>
      </c>
      <c r="H788" s="0" t="n">
        <v>9</v>
      </c>
      <c r="I788" s="16" t="n">
        <f aca="false">G788*H788*0.05</f>
        <v>22.6125</v>
      </c>
      <c r="J788" s="16" t="n">
        <f aca="false">G788*H788*1.05</f>
        <v>474.8625</v>
      </c>
      <c r="K788" s="17" t="n">
        <v>43534</v>
      </c>
      <c r="L788" s="14" t="s">
        <v>1297</v>
      </c>
      <c r="M788" s="14" t="s">
        <v>34</v>
      </c>
      <c r="N788" s="16" t="n">
        <f aca="false">G788*H788</f>
        <v>452.25</v>
      </c>
      <c r="O788" s="18" t="n">
        <v>4.761904762</v>
      </c>
      <c r="P788" s="16" t="n">
        <f aca="false">I788</f>
        <v>22.6125</v>
      </c>
      <c r="Q788" s="19" t="n">
        <v>6.5</v>
      </c>
      <c r="R788" s="0" t="str">
        <f aca="false">TEXT(K788,"mmm yyyy")</f>
        <v>Mar 2019</v>
      </c>
      <c r="S788" s="14" t="n">
        <f aca="false">HOUR(TIMEVALUE(L788))</f>
        <v>19</v>
      </c>
      <c r="T788" s="0" t="str">
        <f aca="false">IF(S788&lt;12,"Morning",IF(S788&lt;17,"Afternoon","Evening"))</f>
        <v>Evening</v>
      </c>
      <c r="U788" s="16" t="n">
        <f aca="false">G788*H788*0.05</f>
        <v>22.6125</v>
      </c>
    </row>
    <row r="789" customFormat="false" ht="15" hidden="false" customHeight="false" outlineLevel="0" collapsed="false">
      <c r="A789" s="0" t="s">
        <v>1298</v>
      </c>
      <c r="B789" s="0" t="s">
        <v>29</v>
      </c>
      <c r="C789" s="0" t="s">
        <v>56</v>
      </c>
      <c r="D789" s="0" t="s">
        <v>22</v>
      </c>
      <c r="E789" s="0" t="s">
        <v>57</v>
      </c>
      <c r="F789" s="0" t="s">
        <v>31</v>
      </c>
      <c r="G789" s="16" t="n">
        <v>57.61</v>
      </c>
      <c r="H789" s="0" t="n">
        <v>4</v>
      </c>
      <c r="I789" s="16" t="n">
        <f aca="false">G789*H789*0.05</f>
        <v>11.522</v>
      </c>
      <c r="J789" s="16" t="n">
        <f aca="false">G789*H789*1.05</f>
        <v>241.962</v>
      </c>
      <c r="K789" s="17" t="n">
        <v>43534</v>
      </c>
      <c r="L789" s="14" t="s">
        <v>1299</v>
      </c>
      <c r="M789" s="14" t="s">
        <v>34</v>
      </c>
      <c r="N789" s="16" t="n">
        <f aca="false">G789*H789</f>
        <v>230.44</v>
      </c>
      <c r="O789" s="18" t="n">
        <v>4.761904762</v>
      </c>
      <c r="P789" s="16" t="n">
        <f aca="false">I789</f>
        <v>11.522</v>
      </c>
      <c r="Q789" s="19" t="n">
        <v>5.7</v>
      </c>
      <c r="R789" s="0" t="str">
        <f aca="false">TEXT(K789,"mmm yyyy")</f>
        <v>Mar 2019</v>
      </c>
      <c r="S789" s="14" t="n">
        <f aca="false">HOUR(TIMEVALUE(L789))</f>
        <v>11</v>
      </c>
      <c r="T789" s="0" t="str">
        <f aca="false">IF(S789&lt;12,"Morning",IF(S789&lt;17,"Afternoon","Evening"))</f>
        <v>Morning</v>
      </c>
      <c r="U789" s="16" t="n">
        <f aca="false">G789*H789*0.05</f>
        <v>11.522</v>
      </c>
    </row>
    <row r="790" customFormat="false" ht="15" hidden="false" customHeight="false" outlineLevel="0" collapsed="false">
      <c r="A790" s="0" t="s">
        <v>1300</v>
      </c>
      <c r="B790" s="0" t="s">
        <v>33</v>
      </c>
      <c r="C790" s="0" t="s">
        <v>65</v>
      </c>
      <c r="D790" s="0" t="s">
        <v>21</v>
      </c>
      <c r="E790" s="0" t="s">
        <v>57</v>
      </c>
      <c r="F790" s="0" t="s">
        <v>31</v>
      </c>
      <c r="G790" s="16" t="n">
        <v>32.32</v>
      </c>
      <c r="H790" s="0" t="n">
        <v>2</v>
      </c>
      <c r="I790" s="16" t="n">
        <f aca="false">G790*H790*0.05</f>
        <v>3.232</v>
      </c>
      <c r="J790" s="16" t="n">
        <f aca="false">G790*H790*1.05</f>
        <v>67.872</v>
      </c>
      <c r="K790" s="17" t="n">
        <v>43534</v>
      </c>
      <c r="L790" s="14" t="s">
        <v>1097</v>
      </c>
      <c r="M790" s="14" t="s">
        <v>30</v>
      </c>
      <c r="N790" s="16" t="n">
        <f aca="false">G790*H790</f>
        <v>64.64</v>
      </c>
      <c r="O790" s="18" t="n">
        <v>4.761904762</v>
      </c>
      <c r="P790" s="16" t="n">
        <f aca="false">I790</f>
        <v>3.232</v>
      </c>
      <c r="Q790" s="19" t="n">
        <v>7.1</v>
      </c>
      <c r="R790" s="0" t="str">
        <f aca="false">TEXT(K790,"mmm yyyy")</f>
        <v>Mar 2019</v>
      </c>
      <c r="S790" s="14" t="n">
        <f aca="false">HOUR(TIMEVALUE(L790))</f>
        <v>14</v>
      </c>
      <c r="T790" s="0" t="str">
        <f aca="false">IF(S790&lt;12,"Morning",IF(S790&lt;17,"Afternoon","Evening"))</f>
        <v>Afternoon</v>
      </c>
      <c r="U790" s="16" t="n">
        <f aca="false">G790*H790*0.05</f>
        <v>3.232</v>
      </c>
    </row>
    <row r="791" customFormat="false" ht="15" hidden="false" customHeight="false" outlineLevel="0" collapsed="false">
      <c r="A791" s="0" t="s">
        <v>1301</v>
      </c>
      <c r="B791" s="0" t="s">
        <v>29</v>
      </c>
      <c r="C791" s="0" t="s">
        <v>56</v>
      </c>
      <c r="D791" s="0" t="s">
        <v>21</v>
      </c>
      <c r="E791" s="0" t="s">
        <v>60</v>
      </c>
      <c r="F791" s="0" t="s">
        <v>36</v>
      </c>
      <c r="G791" s="16" t="n">
        <v>29.4</v>
      </c>
      <c r="H791" s="0" t="n">
        <v>2</v>
      </c>
      <c r="I791" s="16" t="n">
        <f aca="false">G791*H791*0.05</f>
        <v>2.94</v>
      </c>
      <c r="J791" s="16" t="n">
        <f aca="false">G791*H791*1.05</f>
        <v>61.74</v>
      </c>
      <c r="K791" s="17" t="n">
        <v>43534</v>
      </c>
      <c r="L791" s="14" t="s">
        <v>950</v>
      </c>
      <c r="M791" s="14" t="s">
        <v>30</v>
      </c>
      <c r="N791" s="16" t="n">
        <f aca="false">G791*H791</f>
        <v>58.8</v>
      </c>
      <c r="O791" s="18" t="n">
        <v>4.761904762</v>
      </c>
      <c r="P791" s="16" t="n">
        <f aca="false">I791</f>
        <v>2.94</v>
      </c>
      <c r="Q791" s="19" t="n">
        <v>9.3</v>
      </c>
      <c r="R791" s="0" t="str">
        <f aca="false">TEXT(K791,"mmm yyyy")</f>
        <v>Mar 2019</v>
      </c>
      <c r="S791" s="14" t="n">
        <f aca="false">HOUR(TIMEVALUE(L791))</f>
        <v>13</v>
      </c>
      <c r="T791" s="0" t="str">
        <f aca="false">IF(S791&lt;12,"Morning",IF(S791&lt;17,"Afternoon","Evening"))</f>
        <v>Afternoon</v>
      </c>
      <c r="U791" s="16" t="n">
        <f aca="false">G791*H791*0.05</f>
        <v>2.94</v>
      </c>
    </row>
    <row r="792" customFormat="false" ht="15" hidden="false" customHeight="false" outlineLevel="0" collapsed="false">
      <c r="A792" s="0" t="s">
        <v>1302</v>
      </c>
      <c r="B792" s="0" t="s">
        <v>25</v>
      </c>
      <c r="C792" s="0" t="s">
        <v>68</v>
      </c>
      <c r="D792" s="0" t="s">
        <v>22</v>
      </c>
      <c r="E792" s="0" t="s">
        <v>57</v>
      </c>
      <c r="F792" s="0" t="s">
        <v>37</v>
      </c>
      <c r="G792" s="16" t="n">
        <v>96.19</v>
      </c>
      <c r="H792" s="0" t="n">
        <v>8</v>
      </c>
      <c r="I792" s="16" t="n">
        <f aca="false">G792*H792*0.05</f>
        <v>38.476</v>
      </c>
      <c r="J792" s="16" t="n">
        <f aca="false">G792*H792*1.05</f>
        <v>807.996</v>
      </c>
      <c r="K792" s="17" t="n">
        <v>43534</v>
      </c>
      <c r="L792" s="14" t="s">
        <v>1046</v>
      </c>
      <c r="M792" s="14" t="s">
        <v>34</v>
      </c>
      <c r="N792" s="16" t="n">
        <f aca="false">G792*H792</f>
        <v>769.52</v>
      </c>
      <c r="O792" s="18" t="n">
        <v>4.761904762</v>
      </c>
      <c r="P792" s="16" t="n">
        <f aca="false">I792</f>
        <v>38.476</v>
      </c>
      <c r="Q792" s="19" t="n">
        <v>8.1</v>
      </c>
      <c r="R792" s="0" t="str">
        <f aca="false">TEXT(K792,"mmm yyyy")</f>
        <v>Mar 2019</v>
      </c>
      <c r="S792" s="14" t="n">
        <f aca="false">HOUR(TIMEVALUE(L792))</f>
        <v>18</v>
      </c>
      <c r="T792" s="0" t="str">
        <f aca="false">IF(S792&lt;12,"Morning",IF(S792&lt;17,"Afternoon","Evening"))</f>
        <v>Evening</v>
      </c>
      <c r="U792" s="16" t="n">
        <f aca="false">G792*H792*0.05</f>
        <v>38.476</v>
      </c>
    </row>
    <row r="793" customFormat="false" ht="15" hidden="false" customHeight="false" outlineLevel="0" collapsed="false">
      <c r="A793" s="0" t="s">
        <v>1303</v>
      </c>
      <c r="B793" s="0" t="s">
        <v>25</v>
      </c>
      <c r="C793" s="0" t="s">
        <v>68</v>
      </c>
      <c r="D793" s="0" t="s">
        <v>21</v>
      </c>
      <c r="E793" s="0" t="s">
        <v>60</v>
      </c>
      <c r="F793" s="0" t="s">
        <v>35</v>
      </c>
      <c r="G793" s="16" t="n">
        <v>93.76</v>
      </c>
      <c r="H793" s="0" t="n">
        <v>1</v>
      </c>
      <c r="I793" s="16" t="n">
        <f aca="false">G793*H793*0.05</f>
        <v>4.688</v>
      </c>
      <c r="J793" s="16" t="n">
        <f aca="false">G793*H793*1.05</f>
        <v>98.448</v>
      </c>
      <c r="K793" s="17" t="n">
        <v>43534</v>
      </c>
      <c r="L793" s="14" t="s">
        <v>1304</v>
      </c>
      <c r="M793" s="14" t="s">
        <v>30</v>
      </c>
      <c r="N793" s="16" t="n">
        <f aca="false">G793*H793</f>
        <v>93.76</v>
      </c>
      <c r="O793" s="18" t="n">
        <v>4.761904762</v>
      </c>
      <c r="P793" s="16" t="n">
        <f aca="false">I793</f>
        <v>4.688</v>
      </c>
      <c r="Q793" s="19" t="n">
        <v>7.3</v>
      </c>
      <c r="R793" s="0" t="str">
        <f aca="false">TEXT(K793,"mmm yyyy")</f>
        <v>Mar 2019</v>
      </c>
      <c r="S793" s="14" t="n">
        <f aca="false">HOUR(TIMEVALUE(L793))</f>
        <v>10</v>
      </c>
      <c r="T793" s="0" t="str">
        <f aca="false">IF(S793&lt;12,"Morning",IF(S793&lt;17,"Afternoon","Evening"))</f>
        <v>Morning</v>
      </c>
      <c r="U793" s="16" t="n">
        <f aca="false">G793*H793*0.05</f>
        <v>4.688</v>
      </c>
    </row>
    <row r="794" customFormat="false" ht="15" hidden="false" customHeight="false" outlineLevel="0" collapsed="false">
      <c r="A794" s="0" t="s">
        <v>1305</v>
      </c>
      <c r="B794" s="0" t="s">
        <v>25</v>
      </c>
      <c r="C794" s="0" t="s">
        <v>68</v>
      </c>
      <c r="D794" s="0" t="s">
        <v>21</v>
      </c>
      <c r="E794" s="0" t="s">
        <v>57</v>
      </c>
      <c r="F794" s="0" t="s">
        <v>35</v>
      </c>
      <c r="G794" s="16" t="n">
        <v>27.54</v>
      </c>
      <c r="H794" s="0" t="n">
        <v>4</v>
      </c>
      <c r="I794" s="16" t="n">
        <f aca="false">G794*H794*0.05</f>
        <v>5.508</v>
      </c>
      <c r="J794" s="16" t="n">
        <f aca="false">G794*H794*1.05</f>
        <v>115.668</v>
      </c>
      <c r="K794" s="17" t="n">
        <v>43534</v>
      </c>
      <c r="L794" s="14" t="s">
        <v>714</v>
      </c>
      <c r="M794" s="14" t="s">
        <v>34</v>
      </c>
      <c r="N794" s="16" t="n">
        <f aca="false">G794*H794</f>
        <v>110.16</v>
      </c>
      <c r="O794" s="18" t="n">
        <v>4.761904762</v>
      </c>
      <c r="P794" s="16" t="n">
        <f aca="false">I794</f>
        <v>5.508</v>
      </c>
      <c r="Q794" s="19" t="n">
        <v>5.7</v>
      </c>
      <c r="R794" s="0" t="str">
        <f aca="false">TEXT(K794,"mmm yyyy")</f>
        <v>Mar 2019</v>
      </c>
      <c r="S794" s="14" t="n">
        <f aca="false">HOUR(TIMEVALUE(L794))</f>
        <v>20</v>
      </c>
      <c r="T794" s="0" t="str">
        <f aca="false">IF(S794&lt;12,"Morning",IF(S794&lt;17,"Afternoon","Evening"))</f>
        <v>Evening</v>
      </c>
      <c r="U794" s="16" t="n">
        <f aca="false">G794*H794*0.05</f>
        <v>5.508</v>
      </c>
    </row>
    <row r="795" customFormat="false" ht="15" hidden="false" customHeight="false" outlineLevel="0" collapsed="false">
      <c r="A795" s="0" t="s">
        <v>1306</v>
      </c>
      <c r="B795" s="0" t="s">
        <v>29</v>
      </c>
      <c r="C795" s="0" t="s">
        <v>56</v>
      </c>
      <c r="D795" s="0" t="s">
        <v>22</v>
      </c>
      <c r="E795" s="0" t="s">
        <v>60</v>
      </c>
      <c r="F795" s="0" t="s">
        <v>23</v>
      </c>
      <c r="G795" s="16" t="n">
        <v>92.44</v>
      </c>
      <c r="H795" s="0" t="n">
        <v>7</v>
      </c>
      <c r="I795" s="16" t="n">
        <f aca="false">G795*H795*0.05</f>
        <v>32.354</v>
      </c>
      <c r="J795" s="16" t="n">
        <f aca="false">G795*H795*1.05</f>
        <v>679.434</v>
      </c>
      <c r="K795" s="17" t="n">
        <v>43535</v>
      </c>
      <c r="L795" s="14" t="s">
        <v>581</v>
      </c>
      <c r="M795" s="14" t="s">
        <v>26</v>
      </c>
      <c r="N795" s="16" t="n">
        <f aca="false">G795*H795</f>
        <v>647.08</v>
      </c>
      <c r="O795" s="18" t="n">
        <v>4.761904762</v>
      </c>
      <c r="P795" s="16" t="n">
        <f aca="false">I795</f>
        <v>32.354</v>
      </c>
      <c r="Q795" s="19" t="n">
        <v>8.7</v>
      </c>
      <c r="R795" s="0" t="str">
        <f aca="false">TEXT(K795,"mmm yyyy")</f>
        <v>Mar 2019</v>
      </c>
      <c r="S795" s="14" t="n">
        <f aca="false">HOUR(TIMEVALUE(L795))</f>
        <v>11</v>
      </c>
      <c r="T795" s="0" t="str">
        <f aca="false">IF(S795&lt;12,"Morning",IF(S795&lt;17,"Afternoon","Evening"))</f>
        <v>Morning</v>
      </c>
      <c r="U795" s="16" t="n">
        <f aca="false">G795*H795*0.05</f>
        <v>32.354</v>
      </c>
    </row>
    <row r="796" customFormat="false" ht="15" hidden="false" customHeight="false" outlineLevel="0" collapsed="false">
      <c r="A796" s="0" t="s">
        <v>1307</v>
      </c>
      <c r="B796" s="0" t="s">
        <v>29</v>
      </c>
      <c r="C796" s="0" t="s">
        <v>56</v>
      </c>
      <c r="D796" s="0" t="s">
        <v>22</v>
      </c>
      <c r="E796" s="0" t="s">
        <v>57</v>
      </c>
      <c r="F796" s="0" t="s">
        <v>37</v>
      </c>
      <c r="G796" s="16" t="n">
        <v>47.81</v>
      </c>
      <c r="H796" s="0" t="n">
        <v>5</v>
      </c>
      <c r="I796" s="16" t="n">
        <f aca="false">G796*H796*0.05</f>
        <v>11.9525</v>
      </c>
      <c r="J796" s="16" t="n">
        <f aca="false">G796*H796*1.05</f>
        <v>251.0025</v>
      </c>
      <c r="K796" s="17" t="n">
        <v>43535</v>
      </c>
      <c r="L796" s="14" t="s">
        <v>1308</v>
      </c>
      <c r="M796" s="14" t="s">
        <v>26</v>
      </c>
      <c r="N796" s="16" t="n">
        <f aca="false">G796*H796</f>
        <v>239.05</v>
      </c>
      <c r="O796" s="18" t="n">
        <v>4.761904762</v>
      </c>
      <c r="P796" s="16" t="n">
        <f aca="false">I796</f>
        <v>11.9525</v>
      </c>
      <c r="Q796" s="19" t="n">
        <v>8.9</v>
      </c>
      <c r="R796" s="0" t="str">
        <f aca="false">TEXT(K796,"mmm yyyy")</f>
        <v>Mar 2019</v>
      </c>
      <c r="S796" s="14" t="n">
        <f aca="false">HOUR(TIMEVALUE(L796))</f>
        <v>11</v>
      </c>
      <c r="T796" s="0" t="str">
        <f aca="false">IF(S796&lt;12,"Morning",IF(S796&lt;17,"Afternoon","Evening"))</f>
        <v>Morning</v>
      </c>
      <c r="U796" s="16" t="n">
        <f aca="false">G796*H796*0.05</f>
        <v>11.9525</v>
      </c>
    </row>
    <row r="797" customFormat="false" ht="15" hidden="false" customHeight="false" outlineLevel="0" collapsed="false">
      <c r="A797" s="0" t="s">
        <v>1309</v>
      </c>
      <c r="B797" s="0" t="s">
        <v>33</v>
      </c>
      <c r="C797" s="0" t="s">
        <v>65</v>
      </c>
      <c r="D797" s="0" t="s">
        <v>22</v>
      </c>
      <c r="E797" s="0" t="s">
        <v>57</v>
      </c>
      <c r="F797" s="0" t="s">
        <v>31</v>
      </c>
      <c r="G797" s="16" t="n">
        <v>86.96</v>
      </c>
      <c r="H797" s="0" t="n">
        <v>5</v>
      </c>
      <c r="I797" s="16" t="n">
        <f aca="false">G797*H797*0.05</f>
        <v>21.74</v>
      </c>
      <c r="J797" s="16" t="n">
        <f aca="false">G797*H797*1.05</f>
        <v>456.54</v>
      </c>
      <c r="K797" s="17" t="n">
        <v>43535</v>
      </c>
      <c r="L797" s="14" t="s">
        <v>1310</v>
      </c>
      <c r="M797" s="14" t="s">
        <v>34</v>
      </c>
      <c r="N797" s="16" t="n">
        <f aca="false">G797*H797</f>
        <v>434.8</v>
      </c>
      <c r="O797" s="18" t="n">
        <v>4.761904762</v>
      </c>
      <c r="P797" s="16" t="n">
        <f aca="false">I797</f>
        <v>21.74</v>
      </c>
      <c r="Q797" s="19" t="n">
        <v>6.6</v>
      </c>
      <c r="R797" s="0" t="str">
        <f aca="false">TEXT(K797,"mmm yyyy")</f>
        <v>Mar 2019</v>
      </c>
      <c r="S797" s="14" t="n">
        <f aca="false">HOUR(TIMEVALUE(L797))</f>
        <v>16</v>
      </c>
      <c r="T797" s="0" t="str">
        <f aca="false">IF(S797&lt;12,"Morning",IF(S797&lt;17,"Afternoon","Evening"))</f>
        <v>Afternoon</v>
      </c>
      <c r="U797" s="16" t="n">
        <f aca="false">G797*H797*0.05</f>
        <v>21.74</v>
      </c>
    </row>
    <row r="798" customFormat="false" ht="15" hidden="false" customHeight="false" outlineLevel="0" collapsed="false">
      <c r="A798" s="0" t="s">
        <v>1311</v>
      </c>
      <c r="B798" s="0" t="s">
        <v>25</v>
      </c>
      <c r="C798" s="0" t="s">
        <v>68</v>
      </c>
      <c r="D798" s="0" t="s">
        <v>21</v>
      </c>
      <c r="E798" s="0" t="s">
        <v>57</v>
      </c>
      <c r="F798" s="0" t="s">
        <v>31</v>
      </c>
      <c r="G798" s="16" t="n">
        <v>93.86</v>
      </c>
      <c r="H798" s="0" t="n">
        <v>3</v>
      </c>
      <c r="I798" s="16" t="n">
        <f aca="false">G798*H798*0.05</f>
        <v>14.079</v>
      </c>
      <c r="J798" s="16" t="n">
        <f aca="false">G798*H798*1.05</f>
        <v>295.659</v>
      </c>
      <c r="K798" s="17" t="n">
        <v>43535</v>
      </c>
      <c r="L798" s="14" t="s">
        <v>1312</v>
      </c>
      <c r="M798" s="14" t="s">
        <v>34</v>
      </c>
      <c r="N798" s="16" t="n">
        <f aca="false">G798*H798</f>
        <v>281.58</v>
      </c>
      <c r="O798" s="18" t="n">
        <v>4.761904762</v>
      </c>
      <c r="P798" s="16" t="n">
        <f aca="false">I798</f>
        <v>14.079</v>
      </c>
      <c r="Q798" s="19" t="n">
        <v>7.3</v>
      </c>
      <c r="R798" s="0" t="str">
        <f aca="false">TEXT(K798,"mmm yyyy")</f>
        <v>Mar 2019</v>
      </c>
      <c r="S798" s="14" t="n">
        <f aca="false">HOUR(TIMEVALUE(L798))</f>
        <v>16</v>
      </c>
      <c r="T798" s="0" t="str">
        <f aca="false">IF(S798&lt;12,"Morning",IF(S798&lt;17,"Afternoon","Evening"))</f>
        <v>Afternoon</v>
      </c>
      <c r="U798" s="16" t="n">
        <f aca="false">G798*H798*0.05</f>
        <v>14.079</v>
      </c>
    </row>
    <row r="799" customFormat="false" ht="15" hidden="false" customHeight="false" outlineLevel="0" collapsed="false">
      <c r="A799" s="0" t="s">
        <v>1313</v>
      </c>
      <c r="B799" s="0" t="s">
        <v>33</v>
      </c>
      <c r="C799" s="0" t="s">
        <v>65</v>
      </c>
      <c r="D799" s="0" t="s">
        <v>22</v>
      </c>
      <c r="E799" s="0" t="s">
        <v>60</v>
      </c>
      <c r="F799" s="0" t="s">
        <v>37</v>
      </c>
      <c r="G799" s="16" t="n">
        <v>43.13</v>
      </c>
      <c r="H799" s="0" t="n">
        <v>7</v>
      </c>
      <c r="I799" s="16" t="n">
        <f aca="false">G799*H799*0.05</f>
        <v>15.0955</v>
      </c>
      <c r="J799" s="16" t="n">
        <f aca="false">G799*H799*1.05</f>
        <v>317.0055</v>
      </c>
      <c r="K799" s="17" t="n">
        <v>43535</v>
      </c>
      <c r="L799" s="14" t="s">
        <v>1314</v>
      </c>
      <c r="M799" s="14" t="s">
        <v>34</v>
      </c>
      <c r="N799" s="16" t="n">
        <f aca="false">G799*H799</f>
        <v>301.91</v>
      </c>
      <c r="O799" s="18" t="n">
        <v>4.761904762</v>
      </c>
      <c r="P799" s="16" t="n">
        <f aca="false">I799</f>
        <v>15.0955</v>
      </c>
      <c r="Q799" s="19" t="n">
        <v>4.8</v>
      </c>
      <c r="R799" s="0" t="str">
        <f aca="false">TEXT(K799,"mmm yyyy")</f>
        <v>Mar 2019</v>
      </c>
      <c r="S799" s="14" t="n">
        <f aca="false">HOUR(TIMEVALUE(L799))</f>
        <v>15</v>
      </c>
      <c r="T799" s="0" t="str">
        <f aca="false">IF(S799&lt;12,"Morning",IF(S799&lt;17,"Afternoon","Evening"))</f>
        <v>Afternoon</v>
      </c>
      <c r="U799" s="16" t="n">
        <f aca="false">G799*H799*0.05</f>
        <v>15.0955</v>
      </c>
    </row>
    <row r="800" customFormat="false" ht="15" hidden="false" customHeight="false" outlineLevel="0" collapsed="false">
      <c r="A800" s="0" t="s">
        <v>1315</v>
      </c>
      <c r="B800" s="0" t="s">
        <v>29</v>
      </c>
      <c r="C800" s="0" t="s">
        <v>56</v>
      </c>
      <c r="D800" s="0" t="s">
        <v>21</v>
      </c>
      <c r="E800" s="0" t="s">
        <v>60</v>
      </c>
      <c r="F800" s="0" t="s">
        <v>23</v>
      </c>
      <c r="G800" s="16" t="n">
        <v>31.72</v>
      </c>
      <c r="H800" s="0" t="n">
        <v>9</v>
      </c>
      <c r="I800" s="16" t="n">
        <f aca="false">G800*H800*0.05</f>
        <v>14.274</v>
      </c>
      <c r="J800" s="16" t="n">
        <f aca="false">G800*H800*1.05</f>
        <v>299.754</v>
      </c>
      <c r="K800" s="17" t="n">
        <v>43535</v>
      </c>
      <c r="L800" s="14" t="s">
        <v>310</v>
      </c>
      <c r="M800" s="14" t="s">
        <v>30</v>
      </c>
      <c r="N800" s="16" t="n">
        <f aca="false">G800*H800</f>
        <v>285.48</v>
      </c>
      <c r="O800" s="18" t="n">
        <v>4.761904762</v>
      </c>
      <c r="P800" s="16" t="n">
        <f aca="false">I800</f>
        <v>14.274</v>
      </c>
      <c r="Q800" s="19" t="n">
        <v>9.3</v>
      </c>
      <c r="R800" s="0" t="str">
        <f aca="false">TEXT(K800,"mmm yyyy")</f>
        <v>Mar 2019</v>
      </c>
      <c r="S800" s="14" t="n">
        <f aca="false">HOUR(TIMEVALUE(L800))</f>
        <v>12</v>
      </c>
      <c r="T800" s="0" t="str">
        <f aca="false">IF(S800&lt;12,"Morning",IF(S800&lt;17,"Afternoon","Evening"))</f>
        <v>Afternoon</v>
      </c>
      <c r="U800" s="16" t="n">
        <f aca="false">G800*H800*0.05</f>
        <v>14.274</v>
      </c>
    </row>
    <row r="801" customFormat="false" ht="15" hidden="false" customHeight="false" outlineLevel="0" collapsed="false">
      <c r="A801" s="0" t="s">
        <v>1316</v>
      </c>
      <c r="B801" s="0" t="s">
        <v>33</v>
      </c>
      <c r="C801" s="0" t="s">
        <v>65</v>
      </c>
      <c r="D801" s="0" t="s">
        <v>22</v>
      </c>
      <c r="E801" s="0" t="s">
        <v>57</v>
      </c>
      <c r="F801" s="0" t="s">
        <v>23</v>
      </c>
      <c r="G801" s="16" t="n">
        <v>93.42</v>
      </c>
      <c r="H801" s="0" t="n">
        <v>1</v>
      </c>
      <c r="I801" s="16" t="n">
        <f aca="false">G801*H801*0.05</f>
        <v>4.671</v>
      </c>
      <c r="J801" s="16" t="n">
        <f aca="false">G801*H801*1.05</f>
        <v>98.091</v>
      </c>
      <c r="K801" s="17" t="n">
        <v>43535</v>
      </c>
      <c r="L801" s="14" t="s">
        <v>1317</v>
      </c>
      <c r="M801" s="14" t="s">
        <v>30</v>
      </c>
      <c r="N801" s="16" t="n">
        <f aca="false">G801*H801</f>
        <v>93.42</v>
      </c>
      <c r="O801" s="18" t="n">
        <v>4.761904762</v>
      </c>
      <c r="P801" s="16" t="n">
        <f aca="false">I801</f>
        <v>4.671</v>
      </c>
      <c r="Q801" s="19" t="n">
        <v>4.7</v>
      </c>
      <c r="R801" s="0" t="str">
        <f aca="false">TEXT(K801,"mmm yyyy")</f>
        <v>Mar 2019</v>
      </c>
      <c r="S801" s="14" t="n">
        <f aca="false">HOUR(TIMEVALUE(L801))</f>
        <v>17</v>
      </c>
      <c r="T801" s="0" t="str">
        <f aca="false">IF(S801&lt;12,"Morning",IF(S801&lt;17,"Afternoon","Evening"))</f>
        <v>Evening</v>
      </c>
      <c r="U801" s="16" t="n">
        <f aca="false">G801*H801*0.05</f>
        <v>4.671</v>
      </c>
    </row>
    <row r="802" customFormat="false" ht="15" hidden="false" customHeight="false" outlineLevel="0" collapsed="false">
      <c r="A802" s="0" t="s">
        <v>1318</v>
      </c>
      <c r="B802" s="0" t="s">
        <v>33</v>
      </c>
      <c r="C802" s="0" t="s">
        <v>65</v>
      </c>
      <c r="D802" s="0" t="s">
        <v>21</v>
      </c>
      <c r="E802" s="0" t="s">
        <v>57</v>
      </c>
      <c r="F802" s="0" t="s">
        <v>27</v>
      </c>
      <c r="G802" s="16" t="n">
        <v>94.63</v>
      </c>
      <c r="H802" s="0" t="n">
        <v>7</v>
      </c>
      <c r="I802" s="16" t="n">
        <f aca="false">G802*H802*0.05</f>
        <v>33.1205</v>
      </c>
      <c r="J802" s="16" t="n">
        <f aca="false">G802*H802*1.05</f>
        <v>695.5305</v>
      </c>
      <c r="K802" s="17" t="n">
        <v>43536</v>
      </c>
      <c r="L802" s="14" t="s">
        <v>1317</v>
      </c>
      <c r="M802" s="14" t="s">
        <v>30</v>
      </c>
      <c r="N802" s="16" t="n">
        <f aca="false">G802*H802</f>
        <v>662.41</v>
      </c>
      <c r="O802" s="18" t="n">
        <v>4.761904762</v>
      </c>
      <c r="P802" s="16" t="n">
        <f aca="false">I802</f>
        <v>33.1205</v>
      </c>
      <c r="Q802" s="19" t="n">
        <v>7.9</v>
      </c>
      <c r="R802" s="0" t="str">
        <f aca="false">TEXT(K802,"mmm yyyy")</f>
        <v>Mar 2019</v>
      </c>
      <c r="S802" s="14" t="n">
        <f aca="false">HOUR(TIMEVALUE(L802))</f>
        <v>17</v>
      </c>
      <c r="T802" s="0" t="str">
        <f aca="false">IF(S802&lt;12,"Morning",IF(S802&lt;17,"Afternoon","Evening"))</f>
        <v>Evening</v>
      </c>
      <c r="U802" s="16" t="n">
        <f aca="false">G802*H802*0.05</f>
        <v>33.1205</v>
      </c>
    </row>
    <row r="803" customFormat="false" ht="15" hidden="false" customHeight="false" outlineLevel="0" collapsed="false">
      <c r="A803" s="0" t="s">
        <v>1319</v>
      </c>
      <c r="B803" s="0" t="s">
        <v>29</v>
      </c>
      <c r="C803" s="0" t="s">
        <v>56</v>
      </c>
      <c r="D803" s="0" t="s">
        <v>21</v>
      </c>
      <c r="E803" s="0" t="s">
        <v>57</v>
      </c>
      <c r="F803" s="0" t="s">
        <v>37</v>
      </c>
      <c r="G803" s="16" t="n">
        <v>14.05</v>
      </c>
      <c r="H803" s="0" t="n">
        <v>9</v>
      </c>
      <c r="I803" s="16" t="n">
        <f aca="false">G803*H803*0.05</f>
        <v>6.3225</v>
      </c>
      <c r="J803" s="16" t="n">
        <f aca="false">G803*H803*1.05</f>
        <v>132.7725</v>
      </c>
      <c r="K803" s="17" t="n">
        <v>43536</v>
      </c>
      <c r="L803" s="14" t="s">
        <v>362</v>
      </c>
      <c r="M803" s="14" t="s">
        <v>26</v>
      </c>
      <c r="N803" s="16" t="n">
        <f aca="false">G803*H803</f>
        <v>126.45</v>
      </c>
      <c r="O803" s="18" t="n">
        <v>4.761904762</v>
      </c>
      <c r="P803" s="16" t="n">
        <f aca="false">I803</f>
        <v>6.3225</v>
      </c>
      <c r="Q803" s="19" t="n">
        <v>4.9</v>
      </c>
      <c r="R803" s="0" t="str">
        <f aca="false">TEXT(K803,"mmm yyyy")</f>
        <v>Mar 2019</v>
      </c>
      <c r="S803" s="14" t="n">
        <f aca="false">HOUR(TIMEVALUE(L803))</f>
        <v>14</v>
      </c>
      <c r="T803" s="0" t="str">
        <f aca="false">IF(S803&lt;12,"Morning",IF(S803&lt;17,"Afternoon","Evening"))</f>
        <v>Afternoon</v>
      </c>
      <c r="U803" s="16" t="n">
        <f aca="false">G803*H803*0.05</f>
        <v>6.3225</v>
      </c>
    </row>
    <row r="804" customFormat="false" ht="15" hidden="false" customHeight="false" outlineLevel="0" collapsed="false">
      <c r="A804" s="0" t="s">
        <v>1320</v>
      </c>
      <c r="B804" s="0" t="s">
        <v>29</v>
      </c>
      <c r="C804" s="0" t="s">
        <v>56</v>
      </c>
      <c r="D804" s="0" t="s">
        <v>22</v>
      </c>
      <c r="E804" s="0" t="s">
        <v>60</v>
      </c>
      <c r="F804" s="0" t="s">
        <v>36</v>
      </c>
      <c r="G804" s="16" t="n">
        <v>77.3</v>
      </c>
      <c r="H804" s="0" t="n">
        <v>9</v>
      </c>
      <c r="I804" s="16" t="n">
        <f aca="false">G804*H804*0.05</f>
        <v>34.785</v>
      </c>
      <c r="J804" s="16" t="n">
        <f aca="false">G804*H804*1.05</f>
        <v>730.485</v>
      </c>
      <c r="K804" s="17" t="n">
        <v>43536</v>
      </c>
      <c r="L804" s="14" t="s">
        <v>1199</v>
      </c>
      <c r="M804" s="14" t="s">
        <v>34</v>
      </c>
      <c r="N804" s="16" t="n">
        <f aca="false">G804*H804</f>
        <v>695.7</v>
      </c>
      <c r="O804" s="18" t="n">
        <v>4.761904762</v>
      </c>
      <c r="P804" s="16" t="n">
        <f aca="false">I804</f>
        <v>34.785</v>
      </c>
      <c r="Q804" s="19" t="n">
        <v>7</v>
      </c>
      <c r="R804" s="0" t="str">
        <f aca="false">TEXT(K804,"mmm yyyy")</f>
        <v>Mar 2019</v>
      </c>
      <c r="S804" s="14" t="n">
        <f aca="false">HOUR(TIMEVALUE(L804))</f>
        <v>17</v>
      </c>
      <c r="T804" s="0" t="str">
        <f aca="false">IF(S804&lt;12,"Morning",IF(S804&lt;17,"Afternoon","Evening"))</f>
        <v>Evening</v>
      </c>
      <c r="U804" s="16" t="n">
        <f aca="false">G804*H804*0.05</f>
        <v>34.785</v>
      </c>
    </row>
    <row r="805" customFormat="false" ht="15" hidden="false" customHeight="false" outlineLevel="0" collapsed="false">
      <c r="A805" s="0" t="s">
        <v>1321</v>
      </c>
      <c r="B805" s="0" t="s">
        <v>25</v>
      </c>
      <c r="C805" s="0" t="s">
        <v>68</v>
      </c>
      <c r="D805" s="0" t="s">
        <v>22</v>
      </c>
      <c r="E805" s="0" t="s">
        <v>57</v>
      </c>
      <c r="F805" s="0" t="s">
        <v>36</v>
      </c>
      <c r="G805" s="16" t="n">
        <v>34.38</v>
      </c>
      <c r="H805" s="0" t="n">
        <v>3</v>
      </c>
      <c r="I805" s="16" t="n">
        <f aca="false">G805*H805*0.05</f>
        <v>5.157</v>
      </c>
      <c r="J805" s="16" t="n">
        <f aca="false">G805*H805*1.05</f>
        <v>108.297</v>
      </c>
      <c r="K805" s="17" t="n">
        <v>43536</v>
      </c>
      <c r="L805" s="14" t="s">
        <v>433</v>
      </c>
      <c r="M805" s="14" t="s">
        <v>30</v>
      </c>
      <c r="N805" s="16" t="n">
        <f aca="false">G805*H805</f>
        <v>103.14</v>
      </c>
      <c r="O805" s="18" t="n">
        <v>4.761904762</v>
      </c>
      <c r="P805" s="16" t="n">
        <f aca="false">I805</f>
        <v>5.157</v>
      </c>
      <c r="Q805" s="19" t="n">
        <v>8.7</v>
      </c>
      <c r="R805" s="0" t="str">
        <f aca="false">TEXT(K805,"mmm yyyy")</f>
        <v>Mar 2019</v>
      </c>
      <c r="S805" s="14" t="n">
        <f aca="false">HOUR(TIMEVALUE(L805))</f>
        <v>13</v>
      </c>
      <c r="T805" s="0" t="str">
        <f aca="false">IF(S805&lt;12,"Morning",IF(S805&lt;17,"Afternoon","Evening"))</f>
        <v>Afternoon</v>
      </c>
      <c r="U805" s="16" t="n">
        <f aca="false">G805*H805*0.05</f>
        <v>5.157</v>
      </c>
    </row>
    <row r="806" customFormat="false" ht="15" hidden="false" customHeight="false" outlineLevel="0" collapsed="false">
      <c r="A806" s="0" t="s">
        <v>1322</v>
      </c>
      <c r="B806" s="0" t="s">
        <v>29</v>
      </c>
      <c r="C806" s="0" t="s">
        <v>56</v>
      </c>
      <c r="D806" s="0" t="s">
        <v>21</v>
      </c>
      <c r="E806" s="0" t="s">
        <v>60</v>
      </c>
      <c r="F806" s="0" t="s">
        <v>36</v>
      </c>
      <c r="G806" s="16" t="n">
        <v>20.75</v>
      </c>
      <c r="H806" s="0" t="n">
        <v>8</v>
      </c>
      <c r="I806" s="16" t="n">
        <f aca="false">G806*H806*0.05</f>
        <v>8.3</v>
      </c>
      <c r="J806" s="16" t="n">
        <f aca="false">G806*H806*1.05</f>
        <v>174.3</v>
      </c>
      <c r="K806" s="17" t="n">
        <v>43536</v>
      </c>
      <c r="L806" s="14" t="s">
        <v>129</v>
      </c>
      <c r="M806" s="14" t="s">
        <v>26</v>
      </c>
      <c r="N806" s="16" t="n">
        <f aca="false">G806*H806</f>
        <v>166</v>
      </c>
      <c r="O806" s="18" t="n">
        <v>4.761904762</v>
      </c>
      <c r="P806" s="16" t="n">
        <f aca="false">I806</f>
        <v>8.3</v>
      </c>
      <c r="Q806" s="19" t="n">
        <v>4.1</v>
      </c>
      <c r="R806" s="0" t="str">
        <f aca="false">TEXT(K806,"mmm yyyy")</f>
        <v>Mar 2019</v>
      </c>
      <c r="S806" s="14" t="n">
        <f aca="false">HOUR(TIMEVALUE(L806))</f>
        <v>10</v>
      </c>
      <c r="T806" s="0" t="str">
        <f aca="false">IF(S806&lt;12,"Morning",IF(S806&lt;17,"Afternoon","Evening"))</f>
        <v>Morning</v>
      </c>
      <c r="U806" s="16" t="n">
        <f aca="false">G806*H806*0.05</f>
        <v>8.3</v>
      </c>
    </row>
    <row r="807" customFormat="false" ht="15" hidden="false" customHeight="false" outlineLevel="0" collapsed="false">
      <c r="A807" s="0" t="s">
        <v>1323</v>
      </c>
      <c r="B807" s="0" t="s">
        <v>25</v>
      </c>
      <c r="C807" s="0" t="s">
        <v>68</v>
      </c>
      <c r="D807" s="0" t="s">
        <v>21</v>
      </c>
      <c r="E807" s="0" t="s">
        <v>57</v>
      </c>
      <c r="F807" s="0" t="s">
        <v>37</v>
      </c>
      <c r="G807" s="16" t="n">
        <v>15.12</v>
      </c>
      <c r="H807" s="0" t="n">
        <v>10</v>
      </c>
      <c r="I807" s="16" t="n">
        <f aca="false">G807*H807*0.05</f>
        <v>7.56</v>
      </c>
      <c r="J807" s="16" t="n">
        <f aca="false">G807*H807*1.05</f>
        <v>158.76</v>
      </c>
      <c r="K807" s="17" t="n">
        <v>43536</v>
      </c>
      <c r="L807" s="14" t="s">
        <v>851</v>
      </c>
      <c r="M807" s="14" t="s">
        <v>34</v>
      </c>
      <c r="N807" s="16" t="n">
        <f aca="false">G807*H807</f>
        <v>151.2</v>
      </c>
      <c r="O807" s="18" t="n">
        <v>4.761904762</v>
      </c>
      <c r="P807" s="16" t="n">
        <f aca="false">I807</f>
        <v>7.56</v>
      </c>
      <c r="Q807" s="19" t="n">
        <v>9.8</v>
      </c>
      <c r="R807" s="0" t="str">
        <f aca="false">TEXT(K807,"mmm yyyy")</f>
        <v>Mar 2019</v>
      </c>
      <c r="S807" s="14" t="n">
        <f aca="false">HOUR(TIMEVALUE(L807))</f>
        <v>18</v>
      </c>
      <c r="T807" s="0" t="str">
        <f aca="false">IF(S807&lt;12,"Morning",IF(S807&lt;17,"Afternoon","Evening"))</f>
        <v>Evening</v>
      </c>
      <c r="U807" s="16" t="n">
        <f aca="false">G807*H807*0.05</f>
        <v>7.56</v>
      </c>
    </row>
    <row r="808" customFormat="false" ht="15" hidden="false" customHeight="false" outlineLevel="0" collapsed="false">
      <c r="A808" s="0" t="s">
        <v>1324</v>
      </c>
      <c r="B808" s="0" t="s">
        <v>25</v>
      </c>
      <c r="C808" s="0" t="s">
        <v>68</v>
      </c>
      <c r="D808" s="0" t="s">
        <v>22</v>
      </c>
      <c r="E808" s="0" t="s">
        <v>57</v>
      </c>
      <c r="F808" s="0" t="s">
        <v>35</v>
      </c>
      <c r="G808" s="16" t="n">
        <v>10.67</v>
      </c>
      <c r="H808" s="0" t="n">
        <v>9</v>
      </c>
      <c r="I808" s="16" t="n">
        <f aca="false">G808*H808*0.05</f>
        <v>4.8015</v>
      </c>
      <c r="J808" s="16" t="n">
        <f aca="false">G808*H808*1.05</f>
        <v>100.8315</v>
      </c>
      <c r="K808" s="17" t="n">
        <v>43536</v>
      </c>
      <c r="L808" s="14" t="s">
        <v>1288</v>
      </c>
      <c r="M808" s="14" t="s">
        <v>34</v>
      </c>
      <c r="N808" s="16" t="n">
        <f aca="false">G808*H808</f>
        <v>96.03</v>
      </c>
      <c r="O808" s="18" t="n">
        <v>4.761904762</v>
      </c>
      <c r="P808" s="16" t="n">
        <f aca="false">I808</f>
        <v>4.8015</v>
      </c>
      <c r="Q808" s="19" t="n">
        <v>7.2</v>
      </c>
      <c r="R808" s="0" t="str">
        <f aca="false">TEXT(K808,"mmm yyyy")</f>
        <v>Mar 2019</v>
      </c>
      <c r="S808" s="14" t="n">
        <f aca="false">HOUR(TIMEVALUE(L808))</f>
        <v>20</v>
      </c>
      <c r="T808" s="0" t="str">
        <f aca="false">IF(S808&lt;12,"Morning",IF(S808&lt;17,"Afternoon","Evening"))</f>
        <v>Evening</v>
      </c>
      <c r="U808" s="16" t="n">
        <f aca="false">G808*H808*0.05</f>
        <v>4.8015</v>
      </c>
    </row>
    <row r="809" customFormat="false" ht="15" hidden="false" customHeight="false" outlineLevel="0" collapsed="false">
      <c r="A809" s="0" t="s">
        <v>1325</v>
      </c>
      <c r="B809" s="0" t="s">
        <v>33</v>
      </c>
      <c r="C809" s="0" t="s">
        <v>65</v>
      </c>
      <c r="D809" s="0" t="s">
        <v>22</v>
      </c>
      <c r="E809" s="0" t="s">
        <v>57</v>
      </c>
      <c r="F809" s="0" t="s">
        <v>27</v>
      </c>
      <c r="G809" s="16" t="n">
        <v>12.18</v>
      </c>
      <c r="H809" s="0" t="n">
        <v>8</v>
      </c>
      <c r="I809" s="16" t="n">
        <f aca="false">G809*H809*0.05</f>
        <v>4.872</v>
      </c>
      <c r="J809" s="16" t="n">
        <f aca="false">G809*H809*1.05</f>
        <v>102.312</v>
      </c>
      <c r="K809" s="17" t="n">
        <v>43536</v>
      </c>
      <c r="L809" s="14" t="s">
        <v>1326</v>
      </c>
      <c r="M809" s="14" t="s">
        <v>30</v>
      </c>
      <c r="N809" s="16" t="n">
        <f aca="false">G809*H809</f>
        <v>97.44</v>
      </c>
      <c r="O809" s="18" t="n">
        <v>4.761904762</v>
      </c>
      <c r="P809" s="16" t="n">
        <f aca="false">I809</f>
        <v>4.872</v>
      </c>
      <c r="Q809" s="19" t="n">
        <v>5.7</v>
      </c>
      <c r="R809" s="0" t="str">
        <f aca="false">TEXT(K809,"mmm yyyy")</f>
        <v>Mar 2019</v>
      </c>
      <c r="S809" s="14" t="n">
        <f aca="false">HOUR(TIMEVALUE(L809))</f>
        <v>17</v>
      </c>
      <c r="T809" s="0" t="str">
        <f aca="false">IF(S809&lt;12,"Morning",IF(S809&lt;17,"Afternoon","Evening"))</f>
        <v>Evening</v>
      </c>
      <c r="U809" s="16" t="n">
        <f aca="false">G809*H809*0.05</f>
        <v>4.872</v>
      </c>
    </row>
    <row r="810" customFormat="false" ht="15" hidden="false" customHeight="false" outlineLevel="0" collapsed="false">
      <c r="A810" s="0" t="s">
        <v>1327</v>
      </c>
      <c r="B810" s="0" t="s">
        <v>33</v>
      </c>
      <c r="C810" s="0" t="s">
        <v>65</v>
      </c>
      <c r="D810" s="0" t="s">
        <v>21</v>
      </c>
      <c r="E810" s="0" t="s">
        <v>57</v>
      </c>
      <c r="F810" s="0" t="s">
        <v>37</v>
      </c>
      <c r="G810" s="16" t="n">
        <v>39.73</v>
      </c>
      <c r="H810" s="0" t="n">
        <v>6</v>
      </c>
      <c r="I810" s="16" t="n">
        <f aca="false">G810*H810*0.05</f>
        <v>11.919</v>
      </c>
      <c r="J810" s="16" t="n">
        <f aca="false">G810*H810*1.05</f>
        <v>250.299</v>
      </c>
      <c r="K810" s="17" t="n">
        <v>43536</v>
      </c>
      <c r="L810" s="14" t="s">
        <v>212</v>
      </c>
      <c r="M810" s="14" t="s">
        <v>34</v>
      </c>
      <c r="N810" s="16" t="n">
        <f aca="false">G810*H810</f>
        <v>238.38</v>
      </c>
      <c r="O810" s="18" t="n">
        <v>4.761904762</v>
      </c>
      <c r="P810" s="16" t="n">
        <f aca="false">I810</f>
        <v>11.919</v>
      </c>
      <c r="Q810" s="19" t="n">
        <v>6.1</v>
      </c>
      <c r="R810" s="0" t="str">
        <f aca="false">TEXT(K810,"mmm yyyy")</f>
        <v>Mar 2019</v>
      </c>
      <c r="S810" s="14" t="n">
        <f aca="false">HOUR(TIMEVALUE(L810))</f>
        <v>16</v>
      </c>
      <c r="T810" s="0" t="str">
        <f aca="false">IF(S810&lt;12,"Morning",IF(S810&lt;17,"Afternoon","Evening"))</f>
        <v>Afternoon</v>
      </c>
      <c r="U810" s="16" t="n">
        <f aca="false">G810*H810*0.05</f>
        <v>11.919</v>
      </c>
    </row>
    <row r="811" customFormat="false" ht="15" hidden="false" customHeight="false" outlineLevel="0" collapsed="false">
      <c r="A811" s="0" t="s">
        <v>1328</v>
      </c>
      <c r="B811" s="0" t="s">
        <v>25</v>
      </c>
      <c r="C811" s="0" t="s">
        <v>68</v>
      </c>
      <c r="D811" s="0" t="s">
        <v>22</v>
      </c>
      <c r="E811" s="0" t="s">
        <v>60</v>
      </c>
      <c r="F811" s="0" t="s">
        <v>27</v>
      </c>
      <c r="G811" s="16" t="n">
        <v>32.14</v>
      </c>
      <c r="H811" s="0" t="n">
        <v>8</v>
      </c>
      <c r="I811" s="16" t="n">
        <f aca="false">G811*H811*0.05</f>
        <v>12.856</v>
      </c>
      <c r="J811" s="16" t="n">
        <f aca="false">G811*H811*1.05</f>
        <v>269.976</v>
      </c>
      <c r="K811" s="17" t="n">
        <v>43536</v>
      </c>
      <c r="L811" s="14" t="s">
        <v>1216</v>
      </c>
      <c r="M811" s="14" t="s">
        <v>26</v>
      </c>
      <c r="N811" s="16" t="n">
        <f aca="false">G811*H811</f>
        <v>257.12</v>
      </c>
      <c r="O811" s="18" t="n">
        <v>4.761904762</v>
      </c>
      <c r="P811" s="16" t="n">
        <f aca="false">I811</f>
        <v>12.856</v>
      </c>
      <c r="Q811" s="19" t="n">
        <v>7.4</v>
      </c>
      <c r="R811" s="0" t="str">
        <f aca="false">TEXT(K811,"mmm yyyy")</f>
        <v>Mar 2019</v>
      </c>
      <c r="S811" s="14" t="n">
        <f aca="false">HOUR(TIMEVALUE(L811))</f>
        <v>19</v>
      </c>
      <c r="T811" s="0" t="str">
        <f aca="false">IF(S811&lt;12,"Morning",IF(S811&lt;17,"Afternoon","Evening"))</f>
        <v>Evening</v>
      </c>
      <c r="U811" s="16" t="n">
        <f aca="false">G811*H811*0.05</f>
        <v>12.856</v>
      </c>
    </row>
    <row r="812" customFormat="false" ht="15" hidden="false" customHeight="false" outlineLevel="0" collapsed="false">
      <c r="A812" s="0" t="s">
        <v>1329</v>
      </c>
      <c r="B812" s="0" t="s">
        <v>29</v>
      </c>
      <c r="C812" s="0" t="s">
        <v>56</v>
      </c>
      <c r="D812" s="0" t="s">
        <v>22</v>
      </c>
      <c r="E812" s="0" t="s">
        <v>60</v>
      </c>
      <c r="F812" s="0" t="s">
        <v>31</v>
      </c>
      <c r="G812" s="16" t="n">
        <v>89.79</v>
      </c>
      <c r="H812" s="0" t="n">
        <v>4</v>
      </c>
      <c r="I812" s="16" t="n">
        <f aca="false">G812*H812*0.05</f>
        <v>17.958</v>
      </c>
      <c r="J812" s="16" t="n">
        <f aca="false">G812*H812*1.05</f>
        <v>377.118</v>
      </c>
      <c r="K812" s="17" t="n">
        <v>43536</v>
      </c>
      <c r="L812" s="14" t="s">
        <v>184</v>
      </c>
      <c r="M812" s="14" t="s">
        <v>34</v>
      </c>
      <c r="N812" s="16" t="n">
        <f aca="false">G812*H812</f>
        <v>359.16</v>
      </c>
      <c r="O812" s="18" t="n">
        <v>4.761904762</v>
      </c>
      <c r="P812" s="16" t="n">
        <f aca="false">I812</f>
        <v>17.958</v>
      </c>
      <c r="Q812" s="19" t="n">
        <v>9.2</v>
      </c>
      <c r="R812" s="0" t="str">
        <f aca="false">TEXT(K812,"mmm yyyy")</f>
        <v>Mar 2019</v>
      </c>
      <c r="S812" s="14" t="n">
        <f aca="false">HOUR(TIMEVALUE(L812))</f>
        <v>19</v>
      </c>
      <c r="T812" s="0" t="str">
        <f aca="false">IF(S812&lt;12,"Morning",IF(S812&lt;17,"Afternoon","Evening"))</f>
        <v>Evening</v>
      </c>
      <c r="U812" s="16" t="n">
        <f aca="false">G812*H812*0.05</f>
        <v>17.958</v>
      </c>
    </row>
    <row r="813" customFormat="false" ht="15" hidden="false" customHeight="false" outlineLevel="0" collapsed="false">
      <c r="A813" s="0" t="s">
        <v>1330</v>
      </c>
      <c r="B813" s="0" t="s">
        <v>33</v>
      </c>
      <c r="C813" s="0" t="s">
        <v>65</v>
      </c>
      <c r="D813" s="0" t="s">
        <v>21</v>
      </c>
      <c r="E813" s="0" t="s">
        <v>60</v>
      </c>
      <c r="F813" s="0" t="s">
        <v>37</v>
      </c>
      <c r="G813" s="16" t="n">
        <v>12.38</v>
      </c>
      <c r="H813" s="0" t="n">
        <v>2</v>
      </c>
      <c r="I813" s="16" t="n">
        <f aca="false">G813*H813*0.05</f>
        <v>1.238</v>
      </c>
      <c r="J813" s="16" t="n">
        <f aca="false">G813*H813*1.05</f>
        <v>25.998</v>
      </c>
      <c r="K813" s="17" t="n">
        <v>43536</v>
      </c>
      <c r="L813" s="14" t="s">
        <v>106</v>
      </c>
      <c r="M813" s="14" t="s">
        <v>34</v>
      </c>
      <c r="N813" s="16" t="n">
        <f aca="false">G813*H813</f>
        <v>24.76</v>
      </c>
      <c r="O813" s="18" t="n">
        <v>4.761904762</v>
      </c>
      <c r="P813" s="16" t="n">
        <f aca="false">I813</f>
        <v>1.238</v>
      </c>
      <c r="Q813" s="19" t="n">
        <v>4.9</v>
      </c>
      <c r="R813" s="0" t="str">
        <f aca="false">TEXT(K813,"mmm yyyy")</f>
        <v>Mar 2019</v>
      </c>
      <c r="S813" s="14" t="n">
        <f aca="false">HOUR(TIMEVALUE(L813))</f>
        <v>16</v>
      </c>
      <c r="T813" s="0" t="str">
        <f aca="false">IF(S813&lt;12,"Morning",IF(S813&lt;17,"Afternoon","Evening"))</f>
        <v>Afternoon</v>
      </c>
      <c r="U813" s="16" t="n">
        <f aca="false">G813*H813*0.05</f>
        <v>1.238</v>
      </c>
    </row>
    <row r="814" customFormat="false" ht="15" hidden="false" customHeight="false" outlineLevel="0" collapsed="false">
      <c r="A814" s="0" t="s">
        <v>1331</v>
      </c>
      <c r="B814" s="0" t="s">
        <v>33</v>
      </c>
      <c r="C814" s="0" t="s">
        <v>65</v>
      </c>
      <c r="D814" s="0" t="s">
        <v>22</v>
      </c>
      <c r="E814" s="0" t="s">
        <v>57</v>
      </c>
      <c r="F814" s="0" t="s">
        <v>37</v>
      </c>
      <c r="G814" s="16" t="n">
        <v>72.88</v>
      </c>
      <c r="H814" s="0" t="n">
        <v>9</v>
      </c>
      <c r="I814" s="16" t="n">
        <f aca="false">G814*H814*0.05</f>
        <v>32.796</v>
      </c>
      <c r="J814" s="16" t="n">
        <f aca="false">G814*H814*1.05</f>
        <v>688.716</v>
      </c>
      <c r="K814" s="17" t="n">
        <v>43537</v>
      </c>
      <c r="L814" s="14" t="s">
        <v>1332</v>
      </c>
      <c r="M814" s="14" t="s">
        <v>30</v>
      </c>
      <c r="N814" s="16" t="n">
        <f aca="false">G814*H814</f>
        <v>655.92</v>
      </c>
      <c r="O814" s="18" t="n">
        <v>4.761904762</v>
      </c>
      <c r="P814" s="16" t="n">
        <f aca="false">I814</f>
        <v>32.796</v>
      </c>
      <c r="Q814" s="19" t="n">
        <v>5.9</v>
      </c>
      <c r="R814" s="0" t="str">
        <f aca="false">TEXT(K814,"mmm yyyy")</f>
        <v>Mar 2019</v>
      </c>
      <c r="S814" s="14" t="n">
        <f aca="false">HOUR(TIMEVALUE(L814))</f>
        <v>19</v>
      </c>
      <c r="T814" s="0" t="str">
        <f aca="false">IF(S814&lt;12,"Morning",IF(S814&lt;17,"Afternoon","Evening"))</f>
        <v>Evening</v>
      </c>
      <c r="U814" s="16" t="n">
        <f aca="false">G814*H814*0.05</f>
        <v>32.796</v>
      </c>
    </row>
    <row r="815" customFormat="false" ht="15" hidden="false" customHeight="false" outlineLevel="0" collapsed="false">
      <c r="A815" s="0" t="s">
        <v>1333</v>
      </c>
      <c r="B815" s="0" t="s">
        <v>25</v>
      </c>
      <c r="C815" s="0" t="s">
        <v>68</v>
      </c>
      <c r="D815" s="0" t="s">
        <v>21</v>
      </c>
      <c r="E815" s="0" t="s">
        <v>60</v>
      </c>
      <c r="F815" s="0" t="s">
        <v>36</v>
      </c>
      <c r="G815" s="16" t="n">
        <v>92.2</v>
      </c>
      <c r="H815" s="0" t="n">
        <v>10</v>
      </c>
      <c r="I815" s="16" t="n">
        <f aca="false">G815*H815*0.05</f>
        <v>46.1</v>
      </c>
      <c r="J815" s="16" t="n">
        <f aca="false">G815*H815*1.05</f>
        <v>968.1</v>
      </c>
      <c r="K815" s="17" t="n">
        <v>43537</v>
      </c>
      <c r="L815" s="14" t="s">
        <v>666</v>
      </c>
      <c r="M815" s="14" t="s">
        <v>30</v>
      </c>
      <c r="N815" s="16" t="n">
        <f aca="false">G815*H815</f>
        <v>922</v>
      </c>
      <c r="O815" s="18" t="n">
        <v>4.761904762</v>
      </c>
      <c r="P815" s="16" t="n">
        <f aca="false">I815</f>
        <v>46.1</v>
      </c>
      <c r="Q815" s="19" t="n">
        <v>5.6</v>
      </c>
      <c r="R815" s="0" t="str">
        <f aca="false">TEXT(K815,"mmm yyyy")</f>
        <v>Mar 2019</v>
      </c>
      <c r="S815" s="14" t="n">
        <f aca="false">HOUR(TIMEVALUE(L815))</f>
        <v>19</v>
      </c>
      <c r="T815" s="0" t="str">
        <f aca="false">IF(S815&lt;12,"Morning",IF(S815&lt;17,"Afternoon","Evening"))</f>
        <v>Evening</v>
      </c>
      <c r="U815" s="16" t="n">
        <f aca="false">G815*H815*0.05</f>
        <v>46.1</v>
      </c>
    </row>
    <row r="816" customFormat="false" ht="15" hidden="false" customHeight="false" outlineLevel="0" collapsed="false">
      <c r="A816" s="0" t="s">
        <v>1334</v>
      </c>
      <c r="B816" s="0" t="s">
        <v>29</v>
      </c>
      <c r="C816" s="0" t="s">
        <v>56</v>
      </c>
      <c r="D816" s="0" t="s">
        <v>21</v>
      </c>
      <c r="E816" s="0" t="s">
        <v>57</v>
      </c>
      <c r="F816" s="0" t="s">
        <v>27</v>
      </c>
      <c r="G816" s="16" t="n">
        <v>47.5</v>
      </c>
      <c r="H816" s="0" t="n">
        <v>4</v>
      </c>
      <c r="I816" s="16" t="n">
        <f aca="false">G816*H816*0.05</f>
        <v>9.5</v>
      </c>
      <c r="J816" s="16" t="n">
        <f aca="false">G816*H816*1.05</f>
        <v>199.5</v>
      </c>
      <c r="K816" s="17" t="n">
        <v>43537</v>
      </c>
      <c r="L816" s="14" t="s">
        <v>840</v>
      </c>
      <c r="M816" s="14" t="s">
        <v>30</v>
      </c>
      <c r="N816" s="16" t="n">
        <f aca="false">G816*H816</f>
        <v>190</v>
      </c>
      <c r="O816" s="18" t="n">
        <v>4.761904762</v>
      </c>
      <c r="P816" s="16" t="n">
        <f aca="false">I816</f>
        <v>9.5</v>
      </c>
      <c r="Q816" s="19" t="n">
        <v>7</v>
      </c>
      <c r="R816" s="0" t="str">
        <f aca="false">TEXT(K816,"mmm yyyy")</f>
        <v>Mar 2019</v>
      </c>
      <c r="S816" s="14" t="n">
        <f aca="false">HOUR(TIMEVALUE(L816))</f>
        <v>10</v>
      </c>
      <c r="T816" s="0" t="str">
        <f aca="false">IF(S816&lt;12,"Morning",IF(S816&lt;17,"Afternoon","Evening"))</f>
        <v>Morning</v>
      </c>
      <c r="U816" s="16" t="n">
        <f aca="false">G816*H816*0.05</f>
        <v>9.5</v>
      </c>
    </row>
    <row r="817" customFormat="false" ht="15" hidden="false" customHeight="false" outlineLevel="0" collapsed="false">
      <c r="A817" s="0" t="s">
        <v>1335</v>
      </c>
      <c r="B817" s="0" t="s">
        <v>33</v>
      </c>
      <c r="C817" s="0" t="s">
        <v>65</v>
      </c>
      <c r="D817" s="0" t="s">
        <v>21</v>
      </c>
      <c r="E817" s="0" t="s">
        <v>57</v>
      </c>
      <c r="F817" s="0" t="s">
        <v>27</v>
      </c>
      <c r="G817" s="16" t="n">
        <v>65.77</v>
      </c>
      <c r="H817" s="0" t="n">
        <v>3</v>
      </c>
      <c r="I817" s="16" t="n">
        <f aca="false">G817*H817*0.05</f>
        <v>9.8655</v>
      </c>
      <c r="J817" s="16" t="n">
        <f aca="false">G817*H817*1.05</f>
        <v>207.1755</v>
      </c>
      <c r="K817" s="17" t="n">
        <v>43537</v>
      </c>
      <c r="L817" s="14" t="s">
        <v>1230</v>
      </c>
      <c r="M817" s="14" t="s">
        <v>34</v>
      </c>
      <c r="N817" s="16" t="n">
        <f aca="false">G817*H817</f>
        <v>197.31</v>
      </c>
      <c r="O817" s="18" t="n">
        <v>4.761904762</v>
      </c>
      <c r="P817" s="16" t="n">
        <f aca="false">I817</f>
        <v>9.8655</v>
      </c>
      <c r="Q817" s="19" t="n">
        <v>7.2</v>
      </c>
      <c r="R817" s="0" t="str">
        <f aca="false">TEXT(K817,"mmm yyyy")</f>
        <v>Mar 2019</v>
      </c>
      <c r="S817" s="14" t="n">
        <f aca="false">HOUR(TIMEVALUE(L817))</f>
        <v>10</v>
      </c>
      <c r="T817" s="0" t="str">
        <f aca="false">IF(S817&lt;12,"Morning",IF(S817&lt;17,"Afternoon","Evening"))</f>
        <v>Morning</v>
      </c>
      <c r="U817" s="16" t="n">
        <f aca="false">G817*H817*0.05</f>
        <v>9.8655</v>
      </c>
    </row>
    <row r="818" customFormat="false" ht="15" hidden="false" customHeight="false" outlineLevel="0" collapsed="false">
      <c r="A818" s="0" t="s">
        <v>1336</v>
      </c>
      <c r="B818" s="0" t="s">
        <v>29</v>
      </c>
      <c r="C818" s="0" t="s">
        <v>56</v>
      </c>
      <c r="D818" s="0" t="s">
        <v>22</v>
      </c>
      <c r="E818" s="0" t="s">
        <v>57</v>
      </c>
      <c r="F818" s="0" t="s">
        <v>37</v>
      </c>
      <c r="G818" s="16" t="n">
        <v>34.68</v>
      </c>
      <c r="H818" s="0" t="n">
        <v>1</v>
      </c>
      <c r="I818" s="16" t="n">
        <f aca="false">G818*H818*0.05</f>
        <v>1.734</v>
      </c>
      <c r="J818" s="16" t="n">
        <f aca="false">G818*H818*1.05</f>
        <v>36.414</v>
      </c>
      <c r="K818" s="17" t="n">
        <v>43537</v>
      </c>
      <c r="L818" s="14" t="s">
        <v>97</v>
      </c>
      <c r="M818" s="14" t="s">
        <v>34</v>
      </c>
      <c r="N818" s="16" t="n">
        <f aca="false">G818*H818</f>
        <v>34.68</v>
      </c>
      <c r="O818" s="18" t="n">
        <v>4.761904762</v>
      </c>
      <c r="P818" s="16" t="n">
        <f aca="false">I818</f>
        <v>1.734</v>
      </c>
      <c r="Q818" s="19" t="n">
        <v>6.4</v>
      </c>
      <c r="R818" s="0" t="str">
        <f aca="false">TEXT(K818,"mmm yyyy")</f>
        <v>Mar 2019</v>
      </c>
      <c r="S818" s="14" t="n">
        <f aca="false">HOUR(TIMEVALUE(L818))</f>
        <v>18</v>
      </c>
      <c r="T818" s="0" t="str">
        <f aca="false">IF(S818&lt;12,"Morning",IF(S818&lt;17,"Afternoon","Evening"))</f>
        <v>Evening</v>
      </c>
      <c r="U818" s="16" t="n">
        <f aca="false">G818*H818*0.05</f>
        <v>1.734</v>
      </c>
    </row>
    <row r="819" customFormat="false" ht="15" hidden="false" customHeight="false" outlineLevel="0" collapsed="false">
      <c r="A819" s="0" t="s">
        <v>1337</v>
      </c>
      <c r="B819" s="0" t="s">
        <v>25</v>
      </c>
      <c r="C819" s="0" t="s">
        <v>68</v>
      </c>
      <c r="D819" s="0" t="s">
        <v>22</v>
      </c>
      <c r="E819" s="0" t="s">
        <v>57</v>
      </c>
      <c r="F819" s="0" t="s">
        <v>35</v>
      </c>
      <c r="G819" s="16" t="n">
        <v>16.73</v>
      </c>
      <c r="H819" s="0" t="n">
        <v>9</v>
      </c>
      <c r="I819" s="16" t="n">
        <f aca="false">G819*H819*0.05</f>
        <v>7.5285</v>
      </c>
      <c r="J819" s="16" t="n">
        <f aca="false">G819*H819*1.05</f>
        <v>158.0985</v>
      </c>
      <c r="K819" s="17" t="n">
        <v>43537</v>
      </c>
      <c r="L819" s="14" t="s">
        <v>1082</v>
      </c>
      <c r="M819" s="14" t="s">
        <v>26</v>
      </c>
      <c r="N819" s="16" t="n">
        <f aca="false">G819*H819</f>
        <v>150.57</v>
      </c>
      <c r="O819" s="18" t="n">
        <v>4.761904762</v>
      </c>
      <c r="P819" s="16" t="n">
        <f aca="false">I819</f>
        <v>7.5285</v>
      </c>
      <c r="Q819" s="19" t="n">
        <v>9.6</v>
      </c>
      <c r="R819" s="0" t="str">
        <f aca="false">TEXT(K819,"mmm yyyy")</f>
        <v>Mar 2019</v>
      </c>
      <c r="S819" s="14" t="n">
        <f aca="false">HOUR(TIMEVALUE(L819))</f>
        <v>13</v>
      </c>
      <c r="T819" s="0" t="str">
        <f aca="false">IF(S819&lt;12,"Morning",IF(S819&lt;17,"Afternoon","Evening"))</f>
        <v>Afternoon</v>
      </c>
      <c r="U819" s="16" t="n">
        <f aca="false">G819*H819*0.05</f>
        <v>7.5285</v>
      </c>
    </row>
    <row r="820" customFormat="false" ht="15" hidden="false" customHeight="false" outlineLevel="0" collapsed="false">
      <c r="A820" s="0" t="s">
        <v>1338</v>
      </c>
      <c r="B820" s="0" t="s">
        <v>25</v>
      </c>
      <c r="C820" s="0" t="s">
        <v>68</v>
      </c>
      <c r="D820" s="0" t="s">
        <v>22</v>
      </c>
      <c r="E820" s="0" t="s">
        <v>60</v>
      </c>
      <c r="F820" s="0" t="s">
        <v>37</v>
      </c>
      <c r="G820" s="16" t="n">
        <v>11.12</v>
      </c>
      <c r="H820" s="0" t="n">
        <v>2</v>
      </c>
      <c r="I820" s="16" t="n">
        <f aca="false">G820*H820*0.05</f>
        <v>1.112</v>
      </c>
      <c r="J820" s="16" t="n">
        <f aca="false">G820*H820*1.05</f>
        <v>23.352</v>
      </c>
      <c r="K820" s="17" t="n">
        <v>43537</v>
      </c>
      <c r="L820" s="14" t="s">
        <v>439</v>
      </c>
      <c r="M820" s="14" t="s">
        <v>30</v>
      </c>
      <c r="N820" s="16" t="n">
        <f aca="false">G820*H820</f>
        <v>22.24</v>
      </c>
      <c r="O820" s="18" t="n">
        <v>4.761904762</v>
      </c>
      <c r="P820" s="16" t="n">
        <f aca="false">I820</f>
        <v>1.112</v>
      </c>
      <c r="Q820" s="19" t="n">
        <v>7.9</v>
      </c>
      <c r="R820" s="0" t="str">
        <f aca="false">TEXT(K820,"mmm yyyy")</f>
        <v>Mar 2019</v>
      </c>
      <c r="S820" s="14" t="n">
        <f aca="false">HOUR(TIMEVALUE(L820))</f>
        <v>15</v>
      </c>
      <c r="T820" s="0" t="str">
        <f aca="false">IF(S820&lt;12,"Morning",IF(S820&lt;17,"Afternoon","Evening"))</f>
        <v>Afternoon</v>
      </c>
      <c r="U820" s="16" t="n">
        <f aca="false">G820*H820*0.05</f>
        <v>1.112</v>
      </c>
    </row>
    <row r="821" customFormat="false" ht="15" hidden="false" customHeight="false" outlineLevel="0" collapsed="false">
      <c r="A821" s="0" t="s">
        <v>1339</v>
      </c>
      <c r="B821" s="0" t="s">
        <v>29</v>
      </c>
      <c r="C821" s="0" t="s">
        <v>56</v>
      </c>
      <c r="D821" s="0" t="s">
        <v>22</v>
      </c>
      <c r="E821" s="0" t="s">
        <v>60</v>
      </c>
      <c r="F821" s="0" t="s">
        <v>31</v>
      </c>
      <c r="G821" s="16" t="n">
        <v>63.63</v>
      </c>
      <c r="H821" s="0" t="n">
        <v>3</v>
      </c>
      <c r="I821" s="16" t="n">
        <f aca="false">G821*H821*0.05</f>
        <v>9.5445</v>
      </c>
      <c r="J821" s="16" t="n">
        <f aca="false">G821*H821*1.05</f>
        <v>200.4345</v>
      </c>
      <c r="K821" s="17" t="n">
        <v>43537</v>
      </c>
      <c r="L821" s="14" t="s">
        <v>1340</v>
      </c>
      <c r="M821" s="14" t="s">
        <v>30</v>
      </c>
      <c r="N821" s="16" t="n">
        <f aca="false">G821*H821</f>
        <v>190.89</v>
      </c>
      <c r="O821" s="18" t="n">
        <v>4.761904762</v>
      </c>
      <c r="P821" s="16" t="n">
        <f aca="false">I821</f>
        <v>9.5445</v>
      </c>
      <c r="Q821" s="19" t="n">
        <v>5</v>
      </c>
      <c r="R821" s="0" t="str">
        <f aca="false">TEXT(K821,"mmm yyyy")</f>
        <v>Mar 2019</v>
      </c>
      <c r="S821" s="14" t="n">
        <f aca="false">HOUR(TIMEVALUE(L821))</f>
        <v>15</v>
      </c>
      <c r="T821" s="0" t="str">
        <f aca="false">IF(S821&lt;12,"Morning",IF(S821&lt;17,"Afternoon","Evening"))</f>
        <v>Afternoon</v>
      </c>
      <c r="U821" s="16" t="n">
        <f aca="false">G821*H821*0.05</f>
        <v>9.5445</v>
      </c>
    </row>
    <row r="822" customFormat="false" ht="15" hidden="false" customHeight="false" outlineLevel="0" collapsed="false">
      <c r="A822" s="0" t="s">
        <v>1341</v>
      </c>
      <c r="B822" s="0" t="s">
        <v>33</v>
      </c>
      <c r="C822" s="0" t="s">
        <v>65</v>
      </c>
      <c r="D822" s="0" t="s">
        <v>22</v>
      </c>
      <c r="E822" s="0" t="s">
        <v>57</v>
      </c>
      <c r="F822" s="0" t="s">
        <v>35</v>
      </c>
      <c r="G822" s="16" t="n">
        <v>84.38</v>
      </c>
      <c r="H822" s="0" t="n">
        <v>3</v>
      </c>
      <c r="I822" s="16" t="n">
        <f aca="false">G822*H822*0.05</f>
        <v>12.657</v>
      </c>
      <c r="J822" s="16" t="n">
        <f aca="false">G822*H822*1.05</f>
        <v>265.797</v>
      </c>
      <c r="K822" s="17" t="n">
        <v>43538</v>
      </c>
      <c r="L822" s="14" t="s">
        <v>314</v>
      </c>
      <c r="M822" s="14" t="s">
        <v>26</v>
      </c>
      <c r="N822" s="16" t="n">
        <f aca="false">G822*H822</f>
        <v>253.14</v>
      </c>
      <c r="O822" s="18" t="n">
        <v>4.761904762</v>
      </c>
      <c r="P822" s="16" t="n">
        <f aca="false">I822</f>
        <v>12.657</v>
      </c>
      <c r="Q822" s="19" t="n">
        <v>6.8</v>
      </c>
      <c r="R822" s="0" t="str">
        <f aca="false">TEXT(K822,"mmm yyyy")</f>
        <v>Mar 2019</v>
      </c>
      <c r="S822" s="14" t="n">
        <f aca="false">HOUR(TIMEVALUE(L822))</f>
        <v>14</v>
      </c>
      <c r="T822" s="0" t="str">
        <f aca="false">IF(S822&lt;12,"Morning",IF(S822&lt;17,"Afternoon","Evening"))</f>
        <v>Afternoon</v>
      </c>
      <c r="U822" s="16" t="n">
        <f aca="false">G822*H822*0.05</f>
        <v>12.657</v>
      </c>
    </row>
    <row r="823" customFormat="false" ht="15" hidden="false" customHeight="false" outlineLevel="0" collapsed="false">
      <c r="A823" s="0" t="s">
        <v>1342</v>
      </c>
      <c r="B823" s="0" t="s">
        <v>29</v>
      </c>
      <c r="C823" s="0" t="s">
        <v>56</v>
      </c>
      <c r="D823" s="0" t="s">
        <v>21</v>
      </c>
      <c r="E823" s="0" t="s">
        <v>57</v>
      </c>
      <c r="F823" s="0" t="s">
        <v>23</v>
      </c>
      <c r="G823" s="16" t="n">
        <v>45.41</v>
      </c>
      <c r="H823" s="0" t="n">
        <v>10</v>
      </c>
      <c r="I823" s="16" t="n">
        <f aca="false">G823*H823*0.05</f>
        <v>22.705</v>
      </c>
      <c r="J823" s="16" t="n">
        <f aca="false">G823*H823*1.05</f>
        <v>476.805</v>
      </c>
      <c r="K823" s="17" t="n">
        <v>43538</v>
      </c>
      <c r="L823" s="14" t="s">
        <v>1343</v>
      </c>
      <c r="M823" s="14" t="s">
        <v>30</v>
      </c>
      <c r="N823" s="16" t="n">
        <f aca="false">G823*H823</f>
        <v>454.1</v>
      </c>
      <c r="O823" s="18" t="n">
        <v>4.761904762</v>
      </c>
      <c r="P823" s="16" t="n">
        <f aca="false">I823</f>
        <v>22.705</v>
      </c>
      <c r="Q823" s="19" t="n">
        <v>6.7</v>
      </c>
      <c r="R823" s="0" t="str">
        <f aca="false">TEXT(K823,"mmm yyyy")</f>
        <v>Mar 2019</v>
      </c>
      <c r="S823" s="14" t="n">
        <f aca="false">HOUR(TIMEVALUE(L823))</f>
        <v>13</v>
      </c>
      <c r="T823" s="0" t="str">
        <f aca="false">IF(S823&lt;12,"Morning",IF(S823&lt;17,"Afternoon","Evening"))</f>
        <v>Afternoon</v>
      </c>
      <c r="U823" s="16" t="n">
        <f aca="false">G823*H823*0.05</f>
        <v>22.705</v>
      </c>
    </row>
    <row r="824" customFormat="false" ht="15" hidden="false" customHeight="false" outlineLevel="0" collapsed="false">
      <c r="A824" s="0" t="s">
        <v>1344</v>
      </c>
      <c r="B824" s="0" t="s">
        <v>29</v>
      </c>
      <c r="C824" s="0" t="s">
        <v>56</v>
      </c>
      <c r="D824" s="0" t="s">
        <v>21</v>
      </c>
      <c r="E824" s="0" t="s">
        <v>57</v>
      </c>
      <c r="F824" s="0" t="s">
        <v>23</v>
      </c>
      <c r="G824" s="16" t="n">
        <v>91.21</v>
      </c>
      <c r="H824" s="0" t="n">
        <v>5</v>
      </c>
      <c r="I824" s="16" t="n">
        <f aca="false">G824*H824*0.05</f>
        <v>22.8025</v>
      </c>
      <c r="J824" s="16" t="n">
        <f aca="false">G824*H824*1.05</f>
        <v>478.8525</v>
      </c>
      <c r="K824" s="17" t="n">
        <v>43538</v>
      </c>
      <c r="L824" s="14" t="s">
        <v>1345</v>
      </c>
      <c r="M824" s="14" t="s">
        <v>34</v>
      </c>
      <c r="N824" s="16" t="n">
        <f aca="false">G824*H824</f>
        <v>456.05</v>
      </c>
      <c r="O824" s="18" t="n">
        <v>4.761904762</v>
      </c>
      <c r="P824" s="16" t="n">
        <f aca="false">I824</f>
        <v>22.8025</v>
      </c>
      <c r="Q824" s="19" t="n">
        <v>7.3</v>
      </c>
      <c r="R824" s="0" t="str">
        <f aca="false">TEXT(K824,"mmm yyyy")</f>
        <v>Mar 2019</v>
      </c>
      <c r="S824" s="14" t="n">
        <f aca="false">HOUR(TIMEVALUE(L824))</f>
        <v>10</v>
      </c>
      <c r="T824" s="0" t="str">
        <f aca="false">IF(S824&lt;12,"Morning",IF(S824&lt;17,"Afternoon","Evening"))</f>
        <v>Morning</v>
      </c>
      <c r="U824" s="16" t="n">
        <f aca="false">G824*H824*0.05</f>
        <v>22.8025</v>
      </c>
    </row>
    <row r="825" customFormat="false" ht="15" hidden="false" customHeight="false" outlineLevel="0" collapsed="false">
      <c r="A825" s="0" t="s">
        <v>1346</v>
      </c>
      <c r="B825" s="0" t="s">
        <v>29</v>
      </c>
      <c r="C825" s="0" t="s">
        <v>56</v>
      </c>
      <c r="D825" s="0" t="s">
        <v>21</v>
      </c>
      <c r="E825" s="0" t="s">
        <v>60</v>
      </c>
      <c r="F825" s="0" t="s">
        <v>27</v>
      </c>
      <c r="G825" s="16" t="n">
        <v>17.16</v>
      </c>
      <c r="H825" s="0" t="n">
        <v>7</v>
      </c>
      <c r="I825" s="16" t="n">
        <f aca="false">G825*H825*0.05</f>
        <v>6.006</v>
      </c>
      <c r="J825" s="16" t="n">
        <f aca="false">G825*H825*1.05</f>
        <v>126.126</v>
      </c>
      <c r="K825" s="17" t="n">
        <v>43538</v>
      </c>
      <c r="L825" s="14" t="s">
        <v>958</v>
      </c>
      <c r="M825" s="14" t="s">
        <v>26</v>
      </c>
      <c r="N825" s="16" t="n">
        <f aca="false">G825*H825</f>
        <v>120.12</v>
      </c>
      <c r="O825" s="18" t="n">
        <v>4.761904762</v>
      </c>
      <c r="P825" s="16" t="n">
        <f aca="false">I825</f>
        <v>6.006</v>
      </c>
      <c r="Q825" s="19" t="n">
        <v>7.5</v>
      </c>
      <c r="R825" s="0" t="str">
        <f aca="false">TEXT(K825,"mmm yyyy")</f>
        <v>Mar 2019</v>
      </c>
      <c r="S825" s="14" t="n">
        <f aca="false">HOUR(TIMEVALUE(L825))</f>
        <v>19</v>
      </c>
      <c r="T825" s="0" t="str">
        <f aca="false">IF(S825&lt;12,"Morning",IF(S825&lt;17,"Afternoon","Evening"))</f>
        <v>Evening</v>
      </c>
      <c r="U825" s="16" t="n">
        <f aca="false">G825*H825*0.05</f>
        <v>6.006</v>
      </c>
    </row>
    <row r="826" customFormat="false" ht="15" hidden="false" customHeight="false" outlineLevel="0" collapsed="false">
      <c r="A826" s="0" t="s">
        <v>1347</v>
      </c>
      <c r="B826" s="0" t="s">
        <v>25</v>
      </c>
      <c r="C826" s="0" t="s">
        <v>68</v>
      </c>
      <c r="D826" s="0" t="s">
        <v>22</v>
      </c>
      <c r="E826" s="0" t="s">
        <v>60</v>
      </c>
      <c r="F826" s="0" t="s">
        <v>23</v>
      </c>
      <c r="G826" s="16" t="n">
        <v>58</v>
      </c>
      <c r="H826" s="0" t="n">
        <v>7</v>
      </c>
      <c r="I826" s="16" t="n">
        <f aca="false">G826*H826*0.05</f>
        <v>20.3</v>
      </c>
      <c r="J826" s="16" t="n">
        <f aca="false">G826*H826*1.05</f>
        <v>426.3</v>
      </c>
      <c r="K826" s="17" t="n">
        <v>43538</v>
      </c>
      <c r="L826" s="14" t="s">
        <v>1348</v>
      </c>
      <c r="M826" s="14" t="s">
        <v>26</v>
      </c>
      <c r="N826" s="16" t="n">
        <f aca="false">G826*H826</f>
        <v>406</v>
      </c>
      <c r="O826" s="18" t="n">
        <v>4.761904762</v>
      </c>
      <c r="P826" s="16" t="n">
        <f aca="false">I826</f>
        <v>20.3</v>
      </c>
      <c r="Q826" s="19" t="n">
        <v>6.6</v>
      </c>
      <c r="R826" s="0" t="str">
        <f aca="false">TEXT(K826,"mmm yyyy")</f>
        <v>Mar 2019</v>
      </c>
      <c r="S826" s="14" t="n">
        <f aca="false">HOUR(TIMEVALUE(L826))</f>
        <v>17</v>
      </c>
      <c r="T826" s="0" t="str">
        <f aca="false">IF(S826&lt;12,"Morning",IF(S826&lt;17,"Afternoon","Evening"))</f>
        <v>Evening</v>
      </c>
      <c r="U826" s="16" t="n">
        <f aca="false">G826*H826*0.05</f>
        <v>20.3</v>
      </c>
    </row>
    <row r="827" customFormat="false" ht="15" hidden="false" customHeight="false" outlineLevel="0" collapsed="false">
      <c r="A827" s="0" t="s">
        <v>1349</v>
      </c>
      <c r="B827" s="0" t="s">
        <v>33</v>
      </c>
      <c r="C827" s="0" t="s">
        <v>65</v>
      </c>
      <c r="D827" s="0" t="s">
        <v>22</v>
      </c>
      <c r="E827" s="0" t="s">
        <v>60</v>
      </c>
      <c r="F827" s="0" t="s">
        <v>37</v>
      </c>
      <c r="G827" s="16" t="n">
        <v>88.03</v>
      </c>
      <c r="H827" s="0" t="n">
        <v>8</v>
      </c>
      <c r="I827" s="16" t="n">
        <f aca="false">G827*H827*0.05</f>
        <v>35.212</v>
      </c>
      <c r="J827" s="16" t="n">
        <f aca="false">G827*H827*1.05</f>
        <v>739.452</v>
      </c>
      <c r="K827" s="17" t="n">
        <v>43538</v>
      </c>
      <c r="L827" s="14" t="s">
        <v>1350</v>
      </c>
      <c r="M827" s="14" t="s">
        <v>34</v>
      </c>
      <c r="N827" s="16" t="n">
        <f aca="false">G827*H827</f>
        <v>704.24</v>
      </c>
      <c r="O827" s="18" t="n">
        <v>4.761904762</v>
      </c>
      <c r="P827" s="16" t="n">
        <f aca="false">I827</f>
        <v>35.212</v>
      </c>
      <c r="Q827" s="19" t="n">
        <v>6.6</v>
      </c>
      <c r="R827" s="0" t="str">
        <f aca="false">TEXT(K827,"mmm yyyy")</f>
        <v>Mar 2019</v>
      </c>
      <c r="S827" s="14" t="n">
        <f aca="false">HOUR(TIMEVALUE(L827))</f>
        <v>16</v>
      </c>
      <c r="T827" s="0" t="str">
        <f aca="false">IF(S827&lt;12,"Morning",IF(S827&lt;17,"Afternoon","Evening"))</f>
        <v>Afternoon</v>
      </c>
      <c r="U827" s="16" t="n">
        <f aca="false">G827*H827*0.05</f>
        <v>35.212</v>
      </c>
    </row>
    <row r="828" customFormat="false" ht="15" hidden="false" customHeight="false" outlineLevel="0" collapsed="false">
      <c r="A828" s="0" t="s">
        <v>1351</v>
      </c>
      <c r="B828" s="0" t="s">
        <v>29</v>
      </c>
      <c r="C828" s="0" t="s">
        <v>56</v>
      </c>
      <c r="D828" s="0" t="s">
        <v>22</v>
      </c>
      <c r="E828" s="0" t="s">
        <v>60</v>
      </c>
      <c r="F828" s="0" t="s">
        <v>31</v>
      </c>
      <c r="G828" s="16" t="n">
        <v>34.75</v>
      </c>
      <c r="H828" s="0" t="n">
        <v>4</v>
      </c>
      <c r="I828" s="16" t="n">
        <f aca="false">G828*H828*0.05</f>
        <v>6.95</v>
      </c>
      <c r="J828" s="16" t="n">
        <f aca="false">G828*H828*1.05</f>
        <v>145.95</v>
      </c>
      <c r="K828" s="17" t="n">
        <v>43538</v>
      </c>
      <c r="L828" s="14" t="s">
        <v>184</v>
      </c>
      <c r="M828" s="14" t="s">
        <v>34</v>
      </c>
      <c r="N828" s="16" t="n">
        <f aca="false">G828*H828</f>
        <v>139</v>
      </c>
      <c r="O828" s="18" t="n">
        <v>4.761904762</v>
      </c>
      <c r="P828" s="16" t="n">
        <f aca="false">I828</f>
        <v>6.95</v>
      </c>
      <c r="Q828" s="19" t="n">
        <v>7.7</v>
      </c>
      <c r="R828" s="0" t="str">
        <f aca="false">TEXT(K828,"mmm yyyy")</f>
        <v>Mar 2019</v>
      </c>
      <c r="S828" s="14" t="n">
        <f aca="false">HOUR(TIMEVALUE(L828))</f>
        <v>19</v>
      </c>
      <c r="T828" s="0" t="str">
        <f aca="false">IF(S828&lt;12,"Morning",IF(S828&lt;17,"Afternoon","Evening"))</f>
        <v>Evening</v>
      </c>
      <c r="U828" s="16" t="n">
        <f aca="false">G828*H828*0.05</f>
        <v>6.95</v>
      </c>
    </row>
    <row r="829" customFormat="false" ht="15" hidden="false" customHeight="false" outlineLevel="0" collapsed="false">
      <c r="A829" s="0" t="s">
        <v>1352</v>
      </c>
      <c r="B829" s="0" t="s">
        <v>25</v>
      </c>
      <c r="C829" s="0" t="s">
        <v>68</v>
      </c>
      <c r="D829" s="0" t="s">
        <v>21</v>
      </c>
      <c r="E829" s="0" t="s">
        <v>60</v>
      </c>
      <c r="F829" s="0" t="s">
        <v>31</v>
      </c>
      <c r="G829" s="16" t="n">
        <v>69.34</v>
      </c>
      <c r="H829" s="0" t="n">
        <v>7</v>
      </c>
      <c r="I829" s="16" t="n">
        <f aca="false">G829*H829*0.05</f>
        <v>24.269</v>
      </c>
      <c r="J829" s="16" t="n">
        <f aca="false">G829*H829*1.05</f>
        <v>509.649</v>
      </c>
      <c r="K829" s="17" t="n">
        <v>43538</v>
      </c>
      <c r="L829" s="14" t="s">
        <v>212</v>
      </c>
      <c r="M829" s="14" t="s">
        <v>26</v>
      </c>
      <c r="N829" s="16" t="n">
        <f aca="false">G829*H829</f>
        <v>485.38</v>
      </c>
      <c r="O829" s="18" t="n">
        <v>4.761904762</v>
      </c>
      <c r="P829" s="16" t="n">
        <f aca="false">I829</f>
        <v>24.269</v>
      </c>
      <c r="Q829" s="19" t="n">
        <v>8.5</v>
      </c>
      <c r="R829" s="0" t="str">
        <f aca="false">TEXT(K829,"mmm yyyy")</f>
        <v>Mar 2019</v>
      </c>
      <c r="S829" s="14" t="n">
        <f aca="false">HOUR(TIMEVALUE(L829))</f>
        <v>16</v>
      </c>
      <c r="T829" s="0" t="str">
        <f aca="false">IF(S829&lt;12,"Morning",IF(S829&lt;17,"Afternoon","Evening"))</f>
        <v>Afternoon</v>
      </c>
      <c r="U829" s="16" t="n">
        <f aca="false">G829*H829*0.05</f>
        <v>24.269</v>
      </c>
    </row>
    <row r="830" customFormat="false" ht="15" hidden="false" customHeight="false" outlineLevel="0" collapsed="false">
      <c r="A830" s="0" t="s">
        <v>1353</v>
      </c>
      <c r="B830" s="0" t="s">
        <v>25</v>
      </c>
      <c r="C830" s="0" t="s">
        <v>68</v>
      </c>
      <c r="D830" s="0" t="s">
        <v>22</v>
      </c>
      <c r="E830" s="0" t="s">
        <v>57</v>
      </c>
      <c r="F830" s="0" t="s">
        <v>31</v>
      </c>
      <c r="G830" s="16" t="n">
        <v>40.83</v>
      </c>
      <c r="H830" s="0" t="n">
        <v>2</v>
      </c>
      <c r="I830" s="16" t="n">
        <f aca="false">G830*H830*0.05</f>
        <v>4.083</v>
      </c>
      <c r="J830" s="16" t="n">
        <f aca="false">G830*H830*1.05</f>
        <v>85.743</v>
      </c>
      <c r="K830" s="17" t="n">
        <v>43538</v>
      </c>
      <c r="L830" s="14" t="s">
        <v>1299</v>
      </c>
      <c r="M830" s="14" t="s">
        <v>30</v>
      </c>
      <c r="N830" s="16" t="n">
        <f aca="false">G830*H830</f>
        <v>81.66</v>
      </c>
      <c r="O830" s="18" t="n">
        <v>4.761904762</v>
      </c>
      <c r="P830" s="16" t="n">
        <f aca="false">I830</f>
        <v>4.083</v>
      </c>
      <c r="Q830" s="19" t="n">
        <v>4</v>
      </c>
      <c r="R830" s="0" t="str">
        <f aca="false">TEXT(K830,"mmm yyyy")</f>
        <v>Mar 2019</v>
      </c>
      <c r="S830" s="14" t="n">
        <f aca="false">HOUR(TIMEVALUE(L830))</f>
        <v>11</v>
      </c>
      <c r="T830" s="0" t="str">
        <f aca="false">IF(S830&lt;12,"Morning",IF(S830&lt;17,"Afternoon","Evening"))</f>
        <v>Morning</v>
      </c>
      <c r="U830" s="16" t="n">
        <f aca="false">G830*H830*0.05</f>
        <v>4.083</v>
      </c>
    </row>
    <row r="831" customFormat="false" ht="15" hidden="false" customHeight="false" outlineLevel="0" collapsed="false">
      <c r="A831" s="0" t="s">
        <v>1354</v>
      </c>
      <c r="B831" s="0" t="s">
        <v>29</v>
      </c>
      <c r="C831" s="0" t="s">
        <v>56</v>
      </c>
      <c r="D831" s="0" t="s">
        <v>22</v>
      </c>
      <c r="E831" s="0" t="s">
        <v>57</v>
      </c>
      <c r="F831" s="0" t="s">
        <v>23</v>
      </c>
      <c r="G831" s="16" t="n">
        <v>94.39</v>
      </c>
      <c r="H831" s="0" t="n">
        <v>1</v>
      </c>
      <c r="I831" s="16" t="n">
        <f aca="false">G831*H831*0.05</f>
        <v>4.7195</v>
      </c>
      <c r="J831" s="16" t="n">
        <f aca="false">G831*H831*1.05</f>
        <v>99.1095</v>
      </c>
      <c r="K831" s="17" t="n">
        <v>43538</v>
      </c>
      <c r="L831" s="14" t="s">
        <v>1355</v>
      </c>
      <c r="M831" s="14" t="s">
        <v>26</v>
      </c>
      <c r="N831" s="16" t="n">
        <f aca="false">G831*H831</f>
        <v>94.39</v>
      </c>
      <c r="O831" s="18" t="n">
        <v>4.761904762</v>
      </c>
      <c r="P831" s="16" t="n">
        <f aca="false">I831</f>
        <v>4.7195</v>
      </c>
      <c r="Q831" s="19" t="n">
        <v>4.1</v>
      </c>
      <c r="R831" s="0" t="str">
        <f aca="false">TEXT(K831,"mmm yyyy")</f>
        <v>Mar 2019</v>
      </c>
      <c r="S831" s="14" t="n">
        <f aca="false">HOUR(TIMEVALUE(L831))</f>
        <v>13</v>
      </c>
      <c r="T831" s="0" t="str">
        <f aca="false">IF(S831&lt;12,"Morning",IF(S831&lt;17,"Afternoon","Evening"))</f>
        <v>Afternoon</v>
      </c>
      <c r="U831" s="16" t="n">
        <f aca="false">G831*H831*0.05</f>
        <v>4.7195</v>
      </c>
    </row>
    <row r="832" customFormat="false" ht="15" hidden="false" customHeight="false" outlineLevel="0" collapsed="false">
      <c r="A832" s="0" t="s">
        <v>1356</v>
      </c>
      <c r="B832" s="0" t="s">
        <v>25</v>
      </c>
      <c r="C832" s="0" t="s">
        <v>68</v>
      </c>
      <c r="D832" s="0" t="s">
        <v>22</v>
      </c>
      <c r="E832" s="0" t="s">
        <v>57</v>
      </c>
      <c r="F832" s="0" t="s">
        <v>35</v>
      </c>
      <c r="G832" s="16" t="n">
        <v>13.64</v>
      </c>
      <c r="H832" s="0" t="n">
        <v>6</v>
      </c>
      <c r="I832" s="16" t="n">
        <f aca="false">G832*H832*0.05</f>
        <v>4.092</v>
      </c>
      <c r="J832" s="16" t="n">
        <f aca="false">G832*H832*1.05</f>
        <v>85.932</v>
      </c>
      <c r="K832" s="17" t="n">
        <v>43538</v>
      </c>
      <c r="L832" s="14" t="s">
        <v>470</v>
      </c>
      <c r="M832" s="14" t="s">
        <v>34</v>
      </c>
      <c r="N832" s="16" t="n">
        <f aca="false">G832*H832</f>
        <v>81.84</v>
      </c>
      <c r="O832" s="18" t="n">
        <v>4.761904762</v>
      </c>
      <c r="P832" s="16" t="n">
        <f aca="false">I832</f>
        <v>4.092</v>
      </c>
      <c r="Q832" s="19" t="n">
        <v>7.3</v>
      </c>
      <c r="R832" s="0" t="str">
        <f aca="false">TEXT(K832,"mmm yyyy")</f>
        <v>Mar 2019</v>
      </c>
      <c r="S832" s="14" t="n">
        <f aca="false">HOUR(TIMEVALUE(L832))</f>
        <v>18</v>
      </c>
      <c r="T832" s="0" t="str">
        <f aca="false">IF(S832&lt;12,"Morning",IF(S832&lt;17,"Afternoon","Evening"))</f>
        <v>Evening</v>
      </c>
      <c r="U832" s="16" t="n">
        <f aca="false">G832*H832*0.05</f>
        <v>4.092</v>
      </c>
    </row>
    <row r="833" customFormat="false" ht="15" hidden="false" customHeight="false" outlineLevel="0" collapsed="false">
      <c r="A833" s="0" t="s">
        <v>1357</v>
      </c>
      <c r="B833" s="0" t="s">
        <v>29</v>
      </c>
      <c r="C833" s="0" t="s">
        <v>56</v>
      </c>
      <c r="D833" s="0" t="s">
        <v>22</v>
      </c>
      <c r="E833" s="0" t="s">
        <v>57</v>
      </c>
      <c r="F833" s="0" t="s">
        <v>35</v>
      </c>
      <c r="G833" s="16" t="n">
        <v>77.01</v>
      </c>
      <c r="H833" s="0" t="n">
        <v>9</v>
      </c>
      <c r="I833" s="16" t="n">
        <f aca="false">G833*H833*0.05</f>
        <v>34.6545</v>
      </c>
      <c r="J833" s="16" t="n">
        <f aca="false">G833*H833*1.05</f>
        <v>727.7445</v>
      </c>
      <c r="K833" s="17" t="n">
        <v>43539</v>
      </c>
      <c r="L833" s="14" t="s">
        <v>380</v>
      </c>
      <c r="M833" s="14" t="s">
        <v>30</v>
      </c>
      <c r="N833" s="16" t="n">
        <f aca="false">G833*H833</f>
        <v>693.09</v>
      </c>
      <c r="O833" s="18" t="n">
        <v>4.761904762</v>
      </c>
      <c r="P833" s="16" t="n">
        <f aca="false">I833</f>
        <v>34.6545</v>
      </c>
      <c r="Q833" s="19" t="n">
        <v>5.7</v>
      </c>
      <c r="R833" s="0" t="str">
        <f aca="false">TEXT(K833,"mmm yyyy")</f>
        <v>Mar 2019</v>
      </c>
      <c r="S833" s="14" t="n">
        <f aca="false">HOUR(TIMEVALUE(L833))</f>
        <v>17</v>
      </c>
      <c r="T833" s="0" t="str">
        <f aca="false">IF(S833&lt;12,"Morning",IF(S833&lt;17,"Afternoon","Evening"))</f>
        <v>Evening</v>
      </c>
      <c r="U833" s="16" t="n">
        <f aca="false">G833*H833*0.05</f>
        <v>34.6545</v>
      </c>
    </row>
    <row r="834" customFormat="false" ht="15" hidden="false" customHeight="false" outlineLevel="0" collapsed="false">
      <c r="A834" s="0" t="s">
        <v>1358</v>
      </c>
      <c r="B834" s="0" t="s">
        <v>25</v>
      </c>
      <c r="C834" s="0" t="s">
        <v>68</v>
      </c>
      <c r="D834" s="0" t="s">
        <v>21</v>
      </c>
      <c r="E834" s="0" t="s">
        <v>57</v>
      </c>
      <c r="F834" s="0" t="s">
        <v>23</v>
      </c>
      <c r="G834" s="16" t="n">
        <v>14.86</v>
      </c>
      <c r="H834" s="0" t="n">
        <v>10</v>
      </c>
      <c r="I834" s="16" t="n">
        <f aca="false">G834*H834*0.05</f>
        <v>7.43</v>
      </c>
      <c r="J834" s="16" t="n">
        <f aca="false">G834*H834*1.05</f>
        <v>156.03</v>
      </c>
      <c r="K834" s="17" t="n">
        <v>43539</v>
      </c>
      <c r="L834" s="14" t="s">
        <v>583</v>
      </c>
      <c r="M834" s="14" t="s">
        <v>30</v>
      </c>
      <c r="N834" s="16" t="n">
        <f aca="false">G834*H834</f>
        <v>148.6</v>
      </c>
      <c r="O834" s="18" t="n">
        <v>4.761904762</v>
      </c>
      <c r="P834" s="16" t="n">
        <f aca="false">I834</f>
        <v>7.43</v>
      </c>
      <c r="Q834" s="19" t="n">
        <v>9.2</v>
      </c>
      <c r="R834" s="0" t="str">
        <f aca="false">TEXT(K834,"mmm yyyy")</f>
        <v>Mar 2019</v>
      </c>
      <c r="S834" s="14" t="n">
        <f aca="false">HOUR(TIMEVALUE(L834))</f>
        <v>19</v>
      </c>
      <c r="T834" s="0" t="str">
        <f aca="false">IF(S834&lt;12,"Morning",IF(S834&lt;17,"Afternoon","Evening"))</f>
        <v>Evening</v>
      </c>
      <c r="U834" s="16" t="n">
        <f aca="false">G834*H834*0.05</f>
        <v>7.43</v>
      </c>
    </row>
    <row r="835" customFormat="false" ht="15" hidden="false" customHeight="false" outlineLevel="0" collapsed="false">
      <c r="A835" s="0" t="s">
        <v>1359</v>
      </c>
      <c r="B835" s="0" t="s">
        <v>29</v>
      </c>
      <c r="C835" s="0" t="s">
        <v>56</v>
      </c>
      <c r="D835" s="0" t="s">
        <v>22</v>
      </c>
      <c r="E835" s="0" t="s">
        <v>60</v>
      </c>
      <c r="F835" s="0" t="s">
        <v>36</v>
      </c>
      <c r="G835" s="16" t="n">
        <v>70.48</v>
      </c>
      <c r="H835" s="0" t="n">
        <v>5</v>
      </c>
      <c r="I835" s="16" t="n">
        <f aca="false">G835*H835*0.05</f>
        <v>17.62</v>
      </c>
      <c r="J835" s="16" t="n">
        <f aca="false">G835*H835*1.05</f>
        <v>370.02</v>
      </c>
      <c r="K835" s="17" t="n">
        <v>43539</v>
      </c>
      <c r="L835" s="14" t="s">
        <v>629</v>
      </c>
      <c r="M835" s="14" t="s">
        <v>26</v>
      </c>
      <c r="N835" s="16" t="n">
        <f aca="false">G835*H835</f>
        <v>352.4</v>
      </c>
      <c r="O835" s="18" t="n">
        <v>4.761904762</v>
      </c>
      <c r="P835" s="16" t="n">
        <f aca="false">I835</f>
        <v>17.62</v>
      </c>
      <c r="Q835" s="19" t="n">
        <v>5.9</v>
      </c>
      <c r="R835" s="0" t="str">
        <f aca="false">TEXT(K835,"mmm yyyy")</f>
        <v>Mar 2019</v>
      </c>
      <c r="S835" s="14" t="n">
        <f aca="false">HOUR(TIMEVALUE(L835))</f>
        <v>16</v>
      </c>
      <c r="T835" s="0" t="str">
        <f aca="false">IF(S835&lt;12,"Morning",IF(S835&lt;17,"Afternoon","Evening"))</f>
        <v>Afternoon</v>
      </c>
      <c r="U835" s="16" t="n">
        <f aca="false">G835*H835*0.05</f>
        <v>17.62</v>
      </c>
    </row>
    <row r="836" customFormat="false" ht="15" hidden="false" customHeight="false" outlineLevel="0" collapsed="false">
      <c r="A836" s="0" t="s">
        <v>1360</v>
      </c>
      <c r="B836" s="0" t="s">
        <v>29</v>
      </c>
      <c r="C836" s="0" t="s">
        <v>56</v>
      </c>
      <c r="D836" s="0" t="s">
        <v>21</v>
      </c>
      <c r="E836" s="0" t="s">
        <v>57</v>
      </c>
      <c r="F836" s="0" t="s">
        <v>31</v>
      </c>
      <c r="G836" s="16" t="n">
        <v>36.19</v>
      </c>
      <c r="H836" s="0" t="n">
        <v>3</v>
      </c>
      <c r="I836" s="16" t="n">
        <f aca="false">G836*H836*0.05</f>
        <v>5.4285</v>
      </c>
      <c r="J836" s="16" t="n">
        <f aca="false">G836*H836*1.05</f>
        <v>113.9985</v>
      </c>
      <c r="K836" s="17" t="n">
        <v>43539</v>
      </c>
      <c r="L836" s="14" t="s">
        <v>1361</v>
      </c>
      <c r="M836" s="14" t="s">
        <v>30</v>
      </c>
      <c r="N836" s="16" t="n">
        <f aca="false">G836*H836</f>
        <v>108.57</v>
      </c>
      <c r="O836" s="18" t="n">
        <v>4.761904762</v>
      </c>
      <c r="P836" s="16" t="n">
        <f aca="false">I836</f>
        <v>5.4285</v>
      </c>
      <c r="Q836" s="19" t="n">
        <v>7.7</v>
      </c>
      <c r="R836" s="0" t="str">
        <f aca="false">TEXT(K836,"mmm yyyy")</f>
        <v>Mar 2019</v>
      </c>
      <c r="S836" s="14" t="n">
        <f aca="false">HOUR(TIMEVALUE(L836))</f>
        <v>12</v>
      </c>
      <c r="T836" s="0" t="str">
        <f aca="false">IF(S836&lt;12,"Morning",IF(S836&lt;17,"Afternoon","Evening"))</f>
        <v>Afternoon</v>
      </c>
      <c r="U836" s="16" t="n">
        <f aca="false">G836*H836*0.05</f>
        <v>5.4285</v>
      </c>
    </row>
    <row r="837" customFormat="false" ht="15" hidden="false" customHeight="false" outlineLevel="0" collapsed="false">
      <c r="A837" s="0" t="s">
        <v>1362</v>
      </c>
      <c r="B837" s="0" t="s">
        <v>25</v>
      </c>
      <c r="C837" s="0" t="s">
        <v>68</v>
      </c>
      <c r="D837" s="0" t="s">
        <v>22</v>
      </c>
      <c r="E837" s="0" t="s">
        <v>57</v>
      </c>
      <c r="F837" s="0" t="s">
        <v>37</v>
      </c>
      <c r="G837" s="16" t="n">
        <v>10.39</v>
      </c>
      <c r="H837" s="0" t="n">
        <v>5</v>
      </c>
      <c r="I837" s="16" t="n">
        <f aca="false">G837*H837*0.05</f>
        <v>2.5975</v>
      </c>
      <c r="J837" s="16" t="n">
        <f aca="false">G837*H837*1.05</f>
        <v>54.5475</v>
      </c>
      <c r="K837" s="17" t="n">
        <v>43539</v>
      </c>
      <c r="L837" s="14" t="s">
        <v>433</v>
      </c>
      <c r="M837" s="14" t="s">
        <v>30</v>
      </c>
      <c r="N837" s="16" t="n">
        <f aca="false">G837*H837</f>
        <v>51.95</v>
      </c>
      <c r="O837" s="18" t="n">
        <v>4.761904762</v>
      </c>
      <c r="P837" s="16" t="n">
        <f aca="false">I837</f>
        <v>2.5975</v>
      </c>
      <c r="Q837" s="19" t="n">
        <v>4.2</v>
      </c>
      <c r="R837" s="0" t="str">
        <f aca="false">TEXT(K837,"mmm yyyy")</f>
        <v>Mar 2019</v>
      </c>
      <c r="S837" s="14" t="n">
        <f aca="false">HOUR(TIMEVALUE(L837))</f>
        <v>13</v>
      </c>
      <c r="T837" s="0" t="str">
        <f aca="false">IF(S837&lt;12,"Morning",IF(S837&lt;17,"Afternoon","Evening"))</f>
        <v>Afternoon</v>
      </c>
      <c r="U837" s="16" t="n">
        <f aca="false">G837*H837*0.05</f>
        <v>2.5975</v>
      </c>
    </row>
    <row r="838" customFormat="false" ht="15" hidden="false" customHeight="false" outlineLevel="0" collapsed="false">
      <c r="A838" s="0" t="s">
        <v>1363</v>
      </c>
      <c r="B838" s="0" t="s">
        <v>33</v>
      </c>
      <c r="C838" s="0" t="s">
        <v>65</v>
      </c>
      <c r="D838" s="0" t="s">
        <v>21</v>
      </c>
      <c r="E838" s="0" t="s">
        <v>60</v>
      </c>
      <c r="F838" s="0" t="s">
        <v>31</v>
      </c>
      <c r="G838" s="16" t="n">
        <v>34.02</v>
      </c>
      <c r="H838" s="0" t="n">
        <v>4</v>
      </c>
      <c r="I838" s="16" t="n">
        <f aca="false">G838*H838*0.05</f>
        <v>6.804</v>
      </c>
      <c r="J838" s="16" t="n">
        <f aca="false">G838*H838*1.05</f>
        <v>142.884</v>
      </c>
      <c r="K838" s="17" t="n">
        <v>43539</v>
      </c>
      <c r="L838" s="14" t="s">
        <v>1364</v>
      </c>
      <c r="M838" s="14" t="s">
        <v>30</v>
      </c>
      <c r="N838" s="16" t="n">
        <f aca="false">G838*H838</f>
        <v>136.08</v>
      </c>
      <c r="O838" s="18" t="n">
        <v>4.761904762</v>
      </c>
      <c r="P838" s="16" t="n">
        <f aca="false">I838</f>
        <v>6.804</v>
      </c>
      <c r="Q838" s="19" t="n">
        <v>5.8</v>
      </c>
      <c r="R838" s="0" t="str">
        <f aca="false">TEXT(K838,"mmm yyyy")</f>
        <v>Mar 2019</v>
      </c>
      <c r="S838" s="14" t="n">
        <f aca="false">HOUR(TIMEVALUE(L838))</f>
        <v>20</v>
      </c>
      <c r="T838" s="0" t="str">
        <f aca="false">IF(S838&lt;12,"Morning",IF(S838&lt;17,"Afternoon","Evening"))</f>
        <v>Evening</v>
      </c>
      <c r="U838" s="16" t="n">
        <f aca="false">G838*H838*0.05</f>
        <v>6.804</v>
      </c>
    </row>
    <row r="839" customFormat="false" ht="15" hidden="false" customHeight="false" outlineLevel="0" collapsed="false">
      <c r="A839" s="0" t="s">
        <v>1365</v>
      </c>
      <c r="B839" s="0" t="s">
        <v>29</v>
      </c>
      <c r="C839" s="0" t="s">
        <v>56</v>
      </c>
      <c r="D839" s="0" t="s">
        <v>21</v>
      </c>
      <c r="E839" s="0" t="s">
        <v>57</v>
      </c>
      <c r="F839" s="0" t="s">
        <v>27</v>
      </c>
      <c r="G839" s="16" t="n">
        <v>67.75</v>
      </c>
      <c r="H839" s="0" t="n">
        <v>6</v>
      </c>
      <c r="I839" s="16" t="n">
        <f aca="false">G839*H839*0.05</f>
        <v>20.325</v>
      </c>
      <c r="J839" s="16" t="n">
        <f aca="false">G839*H839*1.05</f>
        <v>426.825</v>
      </c>
      <c r="K839" s="17" t="n">
        <v>43539</v>
      </c>
      <c r="L839" s="14" t="s">
        <v>603</v>
      </c>
      <c r="M839" s="14" t="s">
        <v>30</v>
      </c>
      <c r="N839" s="16" t="n">
        <f aca="false">G839*H839</f>
        <v>406.5</v>
      </c>
      <c r="O839" s="18" t="n">
        <v>4.761904762</v>
      </c>
      <c r="P839" s="16" t="n">
        <f aca="false">I839</f>
        <v>20.325</v>
      </c>
      <c r="Q839" s="19" t="n">
        <v>6.8</v>
      </c>
      <c r="R839" s="0" t="str">
        <f aca="false">TEXT(K839,"mmm yyyy")</f>
        <v>Mar 2019</v>
      </c>
      <c r="S839" s="14" t="n">
        <f aca="false">HOUR(TIMEVALUE(L839))</f>
        <v>19</v>
      </c>
      <c r="T839" s="0" t="str">
        <f aca="false">IF(S839&lt;12,"Morning",IF(S839&lt;17,"Afternoon","Evening"))</f>
        <v>Evening</v>
      </c>
      <c r="U839" s="16" t="n">
        <f aca="false">G839*H839*0.05</f>
        <v>20.325</v>
      </c>
    </row>
    <row r="840" customFormat="false" ht="15" hidden="false" customHeight="false" outlineLevel="0" collapsed="false">
      <c r="A840" s="0" t="s">
        <v>1366</v>
      </c>
      <c r="B840" s="0" t="s">
        <v>29</v>
      </c>
      <c r="C840" s="0" t="s">
        <v>56</v>
      </c>
      <c r="D840" s="0" t="s">
        <v>22</v>
      </c>
      <c r="E840" s="0" t="s">
        <v>57</v>
      </c>
      <c r="F840" s="0" t="s">
        <v>35</v>
      </c>
      <c r="G840" s="16" t="n">
        <v>12.25</v>
      </c>
      <c r="H840" s="0" t="n">
        <v>4</v>
      </c>
      <c r="I840" s="16" t="n">
        <f aca="false">G840*H840*0.05</f>
        <v>2.45</v>
      </c>
      <c r="J840" s="16" t="n">
        <f aca="false">G840*H840*1.05</f>
        <v>51.45</v>
      </c>
      <c r="K840" s="17" t="n">
        <v>43540</v>
      </c>
      <c r="L840" s="14" t="s">
        <v>1367</v>
      </c>
      <c r="M840" s="14" t="s">
        <v>30</v>
      </c>
      <c r="N840" s="16" t="n">
        <f aca="false">G840*H840</f>
        <v>49</v>
      </c>
      <c r="O840" s="18" t="n">
        <v>4.761904762</v>
      </c>
      <c r="P840" s="16" t="n">
        <f aca="false">I840</f>
        <v>2.45</v>
      </c>
      <c r="Q840" s="19" t="n">
        <v>4.8</v>
      </c>
      <c r="R840" s="0" t="str">
        <f aca="false">TEXT(K840,"mmm yyyy")</f>
        <v>Mar 2019</v>
      </c>
      <c r="S840" s="14" t="n">
        <f aca="false">HOUR(TIMEVALUE(L840))</f>
        <v>10</v>
      </c>
      <c r="T840" s="0" t="str">
        <f aca="false">IF(S840&lt;12,"Morning",IF(S840&lt;17,"Afternoon","Evening"))</f>
        <v>Morning</v>
      </c>
      <c r="U840" s="16" t="n">
        <f aca="false">G840*H840*0.05</f>
        <v>2.45</v>
      </c>
    </row>
    <row r="841" customFormat="false" ht="15" hidden="false" customHeight="false" outlineLevel="0" collapsed="false">
      <c r="A841" s="0" t="s">
        <v>1368</v>
      </c>
      <c r="B841" s="0" t="s">
        <v>33</v>
      </c>
      <c r="C841" s="0" t="s">
        <v>65</v>
      </c>
      <c r="D841" s="0" t="s">
        <v>21</v>
      </c>
      <c r="E841" s="0" t="s">
        <v>57</v>
      </c>
      <c r="F841" s="0" t="s">
        <v>31</v>
      </c>
      <c r="G841" s="16" t="n">
        <v>16.32</v>
      </c>
      <c r="H841" s="0" t="n">
        <v>9</v>
      </c>
      <c r="I841" s="16" t="n">
        <f aca="false">G841*H841*0.05</f>
        <v>7.344</v>
      </c>
      <c r="J841" s="16" t="n">
        <f aca="false">G841*H841*1.05</f>
        <v>154.224</v>
      </c>
      <c r="K841" s="17" t="n">
        <v>43540</v>
      </c>
      <c r="L841" s="14" t="s">
        <v>1171</v>
      </c>
      <c r="M841" s="14" t="s">
        <v>30</v>
      </c>
      <c r="N841" s="16" t="n">
        <f aca="false">G841*H841</f>
        <v>146.88</v>
      </c>
      <c r="O841" s="18" t="n">
        <v>4.761904762</v>
      </c>
      <c r="P841" s="16" t="n">
        <f aca="false">I841</f>
        <v>7.344</v>
      </c>
      <c r="Q841" s="19" t="n">
        <v>7.6</v>
      </c>
      <c r="R841" s="0" t="str">
        <f aca="false">TEXT(K841,"mmm yyyy")</f>
        <v>Mar 2019</v>
      </c>
      <c r="S841" s="14" t="n">
        <f aca="false">HOUR(TIMEVALUE(L841))</f>
        <v>17</v>
      </c>
      <c r="T841" s="0" t="str">
        <f aca="false">IF(S841&lt;12,"Morning",IF(S841&lt;17,"Afternoon","Evening"))</f>
        <v>Evening</v>
      </c>
      <c r="U841" s="16" t="n">
        <f aca="false">G841*H841*0.05</f>
        <v>7.344</v>
      </c>
    </row>
    <row r="842" customFormat="false" ht="15" hidden="false" customHeight="false" outlineLevel="0" collapsed="false">
      <c r="A842" s="0" t="s">
        <v>1369</v>
      </c>
      <c r="B842" s="0" t="s">
        <v>29</v>
      </c>
      <c r="C842" s="0" t="s">
        <v>56</v>
      </c>
      <c r="D842" s="0" t="s">
        <v>22</v>
      </c>
      <c r="E842" s="0" t="s">
        <v>57</v>
      </c>
      <c r="F842" s="0" t="s">
        <v>31</v>
      </c>
      <c r="G842" s="16" t="n">
        <v>45.12</v>
      </c>
      <c r="H842" s="0" t="n">
        <v>5</v>
      </c>
      <c r="I842" s="16" t="n">
        <f aca="false">G842*H842*0.05</f>
        <v>11.28</v>
      </c>
      <c r="J842" s="16" t="n">
        <f aca="false">G842*H842*1.05</f>
        <v>236.88</v>
      </c>
      <c r="K842" s="17" t="n">
        <v>43540</v>
      </c>
      <c r="L842" s="14" t="s">
        <v>840</v>
      </c>
      <c r="M842" s="14" t="s">
        <v>30</v>
      </c>
      <c r="N842" s="16" t="n">
        <f aca="false">G842*H842</f>
        <v>225.6</v>
      </c>
      <c r="O842" s="18" t="n">
        <v>4.761904762</v>
      </c>
      <c r="P842" s="16" t="n">
        <f aca="false">I842</f>
        <v>11.28</v>
      </c>
      <c r="Q842" s="19" t="n">
        <v>5.6</v>
      </c>
      <c r="R842" s="0" t="str">
        <f aca="false">TEXT(K842,"mmm yyyy")</f>
        <v>Mar 2019</v>
      </c>
      <c r="S842" s="14" t="n">
        <f aca="false">HOUR(TIMEVALUE(L842))</f>
        <v>10</v>
      </c>
      <c r="T842" s="0" t="str">
        <f aca="false">IF(S842&lt;12,"Morning",IF(S842&lt;17,"Afternoon","Evening"))</f>
        <v>Morning</v>
      </c>
      <c r="U842" s="16" t="n">
        <f aca="false">G842*H842*0.05</f>
        <v>11.28</v>
      </c>
    </row>
    <row r="843" customFormat="false" ht="15" hidden="false" customHeight="false" outlineLevel="0" collapsed="false">
      <c r="A843" s="0" t="s">
        <v>1370</v>
      </c>
      <c r="B843" s="0" t="s">
        <v>33</v>
      </c>
      <c r="C843" s="0" t="s">
        <v>65</v>
      </c>
      <c r="D843" s="0" t="s">
        <v>21</v>
      </c>
      <c r="E843" s="0" t="s">
        <v>57</v>
      </c>
      <c r="F843" s="0" t="s">
        <v>27</v>
      </c>
      <c r="G843" s="16" t="n">
        <v>99.38</v>
      </c>
      <c r="H843" s="0" t="n">
        <v>6</v>
      </c>
      <c r="I843" s="16" t="n">
        <f aca="false">G843*H843*0.05</f>
        <v>29.814</v>
      </c>
      <c r="J843" s="16" t="n">
        <f aca="false">G843*H843*1.05</f>
        <v>626.094</v>
      </c>
      <c r="K843" s="17" t="n">
        <v>43540</v>
      </c>
      <c r="L843" s="14" t="s">
        <v>248</v>
      </c>
      <c r="M843" s="14" t="s">
        <v>34</v>
      </c>
      <c r="N843" s="16" t="n">
        <f aca="false">G843*H843</f>
        <v>596.28</v>
      </c>
      <c r="O843" s="18" t="n">
        <v>4.761904762</v>
      </c>
      <c r="P843" s="16" t="n">
        <f aca="false">I843</f>
        <v>29.814</v>
      </c>
      <c r="Q843" s="19" t="n">
        <v>8.8</v>
      </c>
      <c r="R843" s="0" t="str">
        <f aca="false">TEXT(K843,"mmm yyyy")</f>
        <v>Mar 2019</v>
      </c>
      <c r="S843" s="14" t="n">
        <f aca="false">HOUR(TIMEVALUE(L843))</f>
        <v>10</v>
      </c>
      <c r="T843" s="0" t="str">
        <f aca="false">IF(S843&lt;12,"Morning",IF(S843&lt;17,"Afternoon","Evening"))</f>
        <v>Morning</v>
      </c>
      <c r="U843" s="16" t="n">
        <f aca="false">G843*H843*0.05</f>
        <v>29.814</v>
      </c>
    </row>
    <row r="844" customFormat="false" ht="15" hidden="false" customHeight="false" outlineLevel="0" collapsed="false">
      <c r="A844" s="0" t="s">
        <v>1371</v>
      </c>
      <c r="B844" s="0" t="s">
        <v>25</v>
      </c>
      <c r="C844" s="0" t="s">
        <v>68</v>
      </c>
      <c r="D844" s="0" t="s">
        <v>21</v>
      </c>
      <c r="E844" s="0" t="s">
        <v>57</v>
      </c>
      <c r="F844" s="0" t="s">
        <v>36</v>
      </c>
      <c r="G844" s="16" t="n">
        <v>45.5</v>
      </c>
      <c r="H844" s="0" t="n">
        <v>8</v>
      </c>
      <c r="I844" s="16" t="n">
        <f aca="false">G844*H844*0.05</f>
        <v>18.2</v>
      </c>
      <c r="J844" s="16" t="n">
        <f aca="false">G844*H844*1.05</f>
        <v>382.2</v>
      </c>
      <c r="K844" s="17" t="n">
        <v>43540</v>
      </c>
      <c r="L844" s="14" t="s">
        <v>259</v>
      </c>
      <c r="M844" s="14" t="s">
        <v>26</v>
      </c>
      <c r="N844" s="16" t="n">
        <f aca="false">G844*H844</f>
        <v>364</v>
      </c>
      <c r="O844" s="18" t="n">
        <v>4.761904762</v>
      </c>
      <c r="P844" s="16" t="n">
        <f aca="false">I844</f>
        <v>18.2</v>
      </c>
      <c r="Q844" s="19" t="n">
        <v>6.7</v>
      </c>
      <c r="R844" s="0" t="str">
        <f aca="false">TEXT(K844,"mmm yyyy")</f>
        <v>Mar 2019</v>
      </c>
      <c r="S844" s="14" t="n">
        <f aca="false">HOUR(TIMEVALUE(L844))</f>
        <v>14</v>
      </c>
      <c r="T844" s="0" t="str">
        <f aca="false">IF(S844&lt;12,"Morning",IF(S844&lt;17,"Afternoon","Evening"))</f>
        <v>Afternoon</v>
      </c>
      <c r="U844" s="16" t="n">
        <f aca="false">G844*H844*0.05</f>
        <v>18.2</v>
      </c>
    </row>
    <row r="845" customFormat="false" ht="15" hidden="false" customHeight="false" outlineLevel="0" collapsed="false">
      <c r="A845" s="0" t="s">
        <v>1372</v>
      </c>
      <c r="B845" s="0" t="s">
        <v>29</v>
      </c>
      <c r="C845" s="0" t="s">
        <v>56</v>
      </c>
      <c r="D845" s="0" t="s">
        <v>22</v>
      </c>
      <c r="E845" s="0" t="s">
        <v>60</v>
      </c>
      <c r="F845" s="0" t="s">
        <v>31</v>
      </c>
      <c r="G845" s="16" t="n">
        <v>73.4</v>
      </c>
      <c r="H845" s="0" t="n">
        <v>1</v>
      </c>
      <c r="I845" s="16" t="n">
        <f aca="false">G845*H845*0.05</f>
        <v>3.67</v>
      </c>
      <c r="J845" s="16" t="n">
        <f aca="false">G845*H845*1.05</f>
        <v>77.07</v>
      </c>
      <c r="K845" s="17" t="n">
        <v>43540</v>
      </c>
      <c r="L845" s="14" t="s">
        <v>1373</v>
      </c>
      <c r="M845" s="14" t="s">
        <v>34</v>
      </c>
      <c r="N845" s="16" t="n">
        <f aca="false">G845*H845</f>
        <v>73.4</v>
      </c>
      <c r="O845" s="18" t="n">
        <v>4.761904762</v>
      </c>
      <c r="P845" s="16" t="n">
        <f aca="false">I845</f>
        <v>3.67</v>
      </c>
      <c r="Q845" s="19" t="n">
        <v>4.1</v>
      </c>
      <c r="R845" s="0" t="str">
        <f aca="false">TEXT(K845,"mmm yyyy")</f>
        <v>Mar 2019</v>
      </c>
      <c r="S845" s="14" t="n">
        <f aca="false">HOUR(TIMEVALUE(L845))</f>
        <v>19</v>
      </c>
      <c r="T845" s="0" t="str">
        <f aca="false">IF(S845&lt;12,"Morning",IF(S845&lt;17,"Afternoon","Evening"))</f>
        <v>Evening</v>
      </c>
      <c r="U845" s="16" t="n">
        <f aca="false">G845*H845*0.05</f>
        <v>3.67</v>
      </c>
    </row>
    <row r="846" customFormat="false" ht="15" hidden="false" customHeight="false" outlineLevel="0" collapsed="false">
      <c r="A846" s="0" t="s">
        <v>1374</v>
      </c>
      <c r="B846" s="0" t="s">
        <v>33</v>
      </c>
      <c r="C846" s="0" t="s">
        <v>65</v>
      </c>
      <c r="D846" s="0" t="s">
        <v>22</v>
      </c>
      <c r="E846" s="0" t="s">
        <v>60</v>
      </c>
      <c r="F846" s="0" t="s">
        <v>27</v>
      </c>
      <c r="G846" s="16" t="n">
        <v>41.85</v>
      </c>
      <c r="H846" s="0" t="n">
        <v>3</v>
      </c>
      <c r="I846" s="16" t="n">
        <f aca="false">G846*H846*0.05</f>
        <v>6.2775</v>
      </c>
      <c r="J846" s="16" t="n">
        <f aca="false">G846*H846*1.05</f>
        <v>131.8275</v>
      </c>
      <c r="K846" s="17" t="n">
        <v>43540</v>
      </c>
      <c r="L846" s="14" t="s">
        <v>773</v>
      </c>
      <c r="M846" s="14" t="s">
        <v>26</v>
      </c>
      <c r="N846" s="16" t="n">
        <f aca="false">G846*H846</f>
        <v>125.55</v>
      </c>
      <c r="O846" s="18" t="n">
        <v>4.761904762</v>
      </c>
      <c r="P846" s="16" t="n">
        <f aca="false">I846</f>
        <v>6.2775</v>
      </c>
      <c r="Q846" s="19" t="n">
        <v>8</v>
      </c>
      <c r="R846" s="0" t="str">
        <f aca="false">TEXT(K846,"mmm yyyy")</f>
        <v>Mar 2019</v>
      </c>
      <c r="S846" s="14" t="n">
        <f aca="false">HOUR(TIMEVALUE(L846))</f>
        <v>18</v>
      </c>
      <c r="T846" s="0" t="str">
        <f aca="false">IF(S846&lt;12,"Morning",IF(S846&lt;17,"Afternoon","Evening"))</f>
        <v>Evening</v>
      </c>
      <c r="U846" s="16" t="n">
        <f aca="false">G846*H846*0.05</f>
        <v>6.2775</v>
      </c>
    </row>
    <row r="847" customFormat="false" ht="15" hidden="false" customHeight="false" outlineLevel="0" collapsed="false">
      <c r="A847" s="0" t="s">
        <v>1375</v>
      </c>
      <c r="B847" s="0" t="s">
        <v>25</v>
      </c>
      <c r="C847" s="0" t="s">
        <v>68</v>
      </c>
      <c r="D847" s="0" t="s">
        <v>22</v>
      </c>
      <c r="E847" s="0" t="s">
        <v>60</v>
      </c>
      <c r="F847" s="0" t="s">
        <v>23</v>
      </c>
      <c r="G847" s="16" t="n">
        <v>17.27</v>
      </c>
      <c r="H847" s="0" t="n">
        <v>9</v>
      </c>
      <c r="I847" s="16" t="n">
        <f aca="false">G847*H847*0.05</f>
        <v>7.7715</v>
      </c>
      <c r="J847" s="16" t="n">
        <f aca="false">G847*H847*1.05</f>
        <v>163.2015</v>
      </c>
      <c r="K847" s="17" t="n">
        <v>43541</v>
      </c>
      <c r="L847" s="14" t="s">
        <v>1376</v>
      </c>
      <c r="M847" s="14" t="s">
        <v>30</v>
      </c>
      <c r="N847" s="16" t="n">
        <f aca="false">G847*H847</f>
        <v>155.43</v>
      </c>
      <c r="O847" s="18" t="n">
        <v>4.761904762</v>
      </c>
      <c r="P847" s="16" t="n">
        <f aca="false">I847</f>
        <v>7.7715</v>
      </c>
      <c r="Q847" s="19" t="n">
        <v>6.1</v>
      </c>
      <c r="R847" s="0" t="str">
        <f aca="false">TEXT(K847,"mmm yyyy")</f>
        <v>Mar 2019</v>
      </c>
      <c r="S847" s="14" t="n">
        <f aca="false">HOUR(TIMEVALUE(L847))</f>
        <v>10</v>
      </c>
      <c r="T847" s="0" t="str">
        <f aca="false">IF(S847&lt;12,"Morning",IF(S847&lt;17,"Afternoon","Evening"))</f>
        <v>Morning</v>
      </c>
      <c r="U847" s="16" t="n">
        <f aca="false">G847*H847*0.05</f>
        <v>7.7715</v>
      </c>
    </row>
    <row r="848" customFormat="false" ht="15" hidden="false" customHeight="false" outlineLevel="0" collapsed="false">
      <c r="A848" s="0" t="s">
        <v>1377</v>
      </c>
      <c r="B848" s="0" t="s">
        <v>29</v>
      </c>
      <c r="C848" s="0" t="s">
        <v>56</v>
      </c>
      <c r="D848" s="0" t="s">
        <v>22</v>
      </c>
      <c r="E848" s="0" t="s">
        <v>60</v>
      </c>
      <c r="F848" s="0" t="s">
        <v>36</v>
      </c>
      <c r="G848" s="16" t="n">
        <v>82.52</v>
      </c>
      <c r="H848" s="0" t="n">
        <v>5</v>
      </c>
      <c r="I848" s="16" t="n">
        <f aca="false">G848*H848*0.05</f>
        <v>20.63</v>
      </c>
      <c r="J848" s="16" t="n">
        <f aca="false">G848*H848*1.05</f>
        <v>433.23</v>
      </c>
      <c r="K848" s="17" t="n">
        <v>43541</v>
      </c>
      <c r="L848" s="14" t="s">
        <v>707</v>
      </c>
      <c r="M848" s="14" t="s">
        <v>34</v>
      </c>
      <c r="N848" s="16" t="n">
        <f aca="false">G848*H848</f>
        <v>412.6</v>
      </c>
      <c r="O848" s="18" t="n">
        <v>4.761904762</v>
      </c>
      <c r="P848" s="16" t="n">
        <f aca="false">I848</f>
        <v>20.63</v>
      </c>
      <c r="Q848" s="19" t="n">
        <v>7.9</v>
      </c>
      <c r="R848" s="0" t="str">
        <f aca="false">TEXT(K848,"mmm yyyy")</f>
        <v>Mar 2019</v>
      </c>
      <c r="S848" s="14" t="n">
        <f aca="false">HOUR(TIMEVALUE(L848))</f>
        <v>13</v>
      </c>
      <c r="T848" s="0" t="str">
        <f aca="false">IF(S848&lt;12,"Morning",IF(S848&lt;17,"Afternoon","Evening"))</f>
        <v>Afternoon</v>
      </c>
      <c r="U848" s="16" t="n">
        <f aca="false">G848*H848*0.05</f>
        <v>20.63</v>
      </c>
    </row>
    <row r="849" customFormat="false" ht="15" hidden="false" customHeight="false" outlineLevel="0" collapsed="false">
      <c r="A849" s="0" t="s">
        <v>1378</v>
      </c>
      <c r="B849" s="0" t="s">
        <v>29</v>
      </c>
      <c r="C849" s="0" t="s">
        <v>56</v>
      </c>
      <c r="D849" s="0" t="s">
        <v>22</v>
      </c>
      <c r="E849" s="0" t="s">
        <v>57</v>
      </c>
      <c r="F849" s="0" t="s">
        <v>23</v>
      </c>
      <c r="G849" s="16" t="n">
        <v>53.51</v>
      </c>
      <c r="H849" s="0" t="n">
        <v>9</v>
      </c>
      <c r="I849" s="16" t="n">
        <f aca="false">G849*H849*0.05</f>
        <v>24.0795</v>
      </c>
      <c r="J849" s="16" t="n">
        <f aca="false">G849*H849*1.05</f>
        <v>505.6695</v>
      </c>
      <c r="K849" s="17" t="n">
        <v>43541</v>
      </c>
      <c r="L849" s="14" t="s">
        <v>975</v>
      </c>
      <c r="M849" s="14" t="s">
        <v>34</v>
      </c>
      <c r="N849" s="16" t="n">
        <f aca="false">G849*H849</f>
        <v>481.59</v>
      </c>
      <c r="O849" s="18" t="n">
        <v>4.761904762</v>
      </c>
      <c r="P849" s="16" t="n">
        <f aca="false">I849</f>
        <v>24.0795</v>
      </c>
      <c r="Q849" s="19" t="n">
        <v>6.4</v>
      </c>
      <c r="R849" s="0" t="str">
        <f aca="false">TEXT(K849,"mmm yyyy")</f>
        <v>Mar 2019</v>
      </c>
      <c r="S849" s="14" t="n">
        <f aca="false">HOUR(TIMEVALUE(L849))</f>
        <v>17</v>
      </c>
      <c r="T849" s="0" t="str">
        <f aca="false">IF(S849&lt;12,"Morning",IF(S849&lt;17,"Afternoon","Evening"))</f>
        <v>Evening</v>
      </c>
      <c r="U849" s="16" t="n">
        <f aca="false">G849*H849*0.05</f>
        <v>24.0795</v>
      </c>
    </row>
    <row r="850" customFormat="false" ht="15" hidden="false" customHeight="false" outlineLevel="0" collapsed="false">
      <c r="A850" s="0" t="s">
        <v>1379</v>
      </c>
      <c r="B850" s="0" t="s">
        <v>25</v>
      </c>
      <c r="C850" s="0" t="s">
        <v>68</v>
      </c>
      <c r="D850" s="0" t="s">
        <v>22</v>
      </c>
      <c r="E850" s="0" t="s">
        <v>57</v>
      </c>
      <c r="F850" s="0" t="s">
        <v>27</v>
      </c>
      <c r="G850" s="16" t="n">
        <v>25.56</v>
      </c>
      <c r="H850" s="0" t="n">
        <v>4</v>
      </c>
      <c r="I850" s="16" t="n">
        <f aca="false">G850*H850*0.05</f>
        <v>5.112</v>
      </c>
      <c r="J850" s="16" t="n">
        <f aca="false">G850*H850*1.05</f>
        <v>107.352</v>
      </c>
      <c r="K850" s="17" t="n">
        <v>43541</v>
      </c>
      <c r="L850" s="14" t="s">
        <v>405</v>
      </c>
      <c r="M850" s="14" t="s">
        <v>34</v>
      </c>
      <c r="N850" s="16" t="n">
        <f aca="false">G850*H850</f>
        <v>102.24</v>
      </c>
      <c r="O850" s="18" t="n">
        <v>4.761904762</v>
      </c>
      <c r="P850" s="16" t="n">
        <f aca="false">I850</f>
        <v>5.112</v>
      </c>
      <c r="Q850" s="19" t="n">
        <v>4.6</v>
      </c>
      <c r="R850" s="0" t="str">
        <f aca="false">TEXT(K850,"mmm yyyy")</f>
        <v>Mar 2019</v>
      </c>
      <c r="S850" s="14" t="n">
        <f aca="false">HOUR(TIMEVALUE(L850))</f>
        <v>18</v>
      </c>
      <c r="T850" s="0" t="str">
        <f aca="false">IF(S850&lt;12,"Morning",IF(S850&lt;17,"Afternoon","Evening"))</f>
        <v>Evening</v>
      </c>
      <c r="U850" s="16" t="n">
        <f aca="false">G850*H850*0.05</f>
        <v>5.112</v>
      </c>
    </row>
    <row r="851" customFormat="false" ht="15" hidden="false" customHeight="false" outlineLevel="0" collapsed="false">
      <c r="A851" s="0" t="s">
        <v>1380</v>
      </c>
      <c r="B851" s="0" t="s">
        <v>33</v>
      </c>
      <c r="C851" s="0" t="s">
        <v>65</v>
      </c>
      <c r="D851" s="0" t="s">
        <v>21</v>
      </c>
      <c r="E851" s="0" t="s">
        <v>60</v>
      </c>
      <c r="F851" s="0" t="s">
        <v>31</v>
      </c>
      <c r="G851" s="16" t="n">
        <v>13.49</v>
      </c>
      <c r="H851" s="0" t="n">
        <v>3</v>
      </c>
      <c r="I851" s="16" t="n">
        <f aca="false">G851*H851*0.05</f>
        <v>2.0235</v>
      </c>
      <c r="J851" s="16" t="n">
        <f aca="false">G851*H851*1.05</f>
        <v>42.4935</v>
      </c>
      <c r="K851" s="17" t="n">
        <v>43541</v>
      </c>
      <c r="L851" s="14" t="s">
        <v>1381</v>
      </c>
      <c r="M851" s="14" t="s">
        <v>30</v>
      </c>
      <c r="N851" s="16" t="n">
        <f aca="false">G851*H851</f>
        <v>40.47</v>
      </c>
      <c r="O851" s="18" t="n">
        <v>4.761904762</v>
      </c>
      <c r="P851" s="16" t="n">
        <f aca="false">I851</f>
        <v>2.0235</v>
      </c>
      <c r="Q851" s="19" t="n">
        <v>8.3</v>
      </c>
      <c r="R851" s="0" t="str">
        <f aca="false">TEXT(K851,"mmm yyyy")</f>
        <v>Mar 2019</v>
      </c>
      <c r="S851" s="14" t="n">
        <f aca="false">HOUR(TIMEVALUE(L851))</f>
        <v>11</v>
      </c>
      <c r="T851" s="0" t="str">
        <f aca="false">IF(S851&lt;12,"Morning",IF(S851&lt;17,"Afternoon","Evening"))</f>
        <v>Morning</v>
      </c>
      <c r="U851" s="16" t="n">
        <f aca="false">G851*H851*0.05</f>
        <v>2.0235</v>
      </c>
    </row>
    <row r="852" customFormat="false" ht="15" hidden="false" customHeight="false" outlineLevel="0" collapsed="false">
      <c r="A852" s="0" t="s">
        <v>1382</v>
      </c>
      <c r="B852" s="0" t="s">
        <v>25</v>
      </c>
      <c r="C852" s="0" t="s">
        <v>68</v>
      </c>
      <c r="D852" s="0" t="s">
        <v>22</v>
      </c>
      <c r="E852" s="0" t="s">
        <v>60</v>
      </c>
      <c r="F852" s="0" t="s">
        <v>23</v>
      </c>
      <c r="G852" s="16" t="n">
        <v>86.17</v>
      </c>
      <c r="H852" s="0" t="n">
        <v>4</v>
      </c>
      <c r="I852" s="16" t="n">
        <f aca="false">G852*H852*0.05</f>
        <v>17.234</v>
      </c>
      <c r="J852" s="16" t="n">
        <f aca="false">G852*H852*1.05</f>
        <v>361.914</v>
      </c>
      <c r="K852" s="17" t="n">
        <v>43541</v>
      </c>
      <c r="L852" s="14" t="s">
        <v>1383</v>
      </c>
      <c r="M852" s="14" t="s">
        <v>26</v>
      </c>
      <c r="N852" s="16" t="n">
        <f aca="false">G852*H852</f>
        <v>344.68</v>
      </c>
      <c r="O852" s="18" t="n">
        <v>4.761904762</v>
      </c>
      <c r="P852" s="16" t="n">
        <f aca="false">I852</f>
        <v>17.234</v>
      </c>
      <c r="Q852" s="19" t="n">
        <v>8.4</v>
      </c>
      <c r="R852" s="0" t="str">
        <f aca="false">TEXT(K852,"mmm yyyy")</f>
        <v>Mar 2019</v>
      </c>
      <c r="S852" s="14" t="n">
        <f aca="false">HOUR(TIMEVALUE(L852))</f>
        <v>18</v>
      </c>
      <c r="T852" s="0" t="str">
        <f aca="false">IF(S852&lt;12,"Morning",IF(S852&lt;17,"Afternoon","Evening"))</f>
        <v>Evening</v>
      </c>
      <c r="U852" s="16" t="n">
        <f aca="false">G852*H852*0.05</f>
        <v>17.234</v>
      </c>
    </row>
    <row r="853" customFormat="false" ht="15" hidden="false" customHeight="false" outlineLevel="0" collapsed="false">
      <c r="A853" s="0" t="s">
        <v>1384</v>
      </c>
      <c r="B853" s="0" t="s">
        <v>25</v>
      </c>
      <c r="C853" s="0" t="s">
        <v>68</v>
      </c>
      <c r="D853" s="0" t="s">
        <v>21</v>
      </c>
      <c r="E853" s="0" t="s">
        <v>57</v>
      </c>
      <c r="F853" s="0" t="s">
        <v>35</v>
      </c>
      <c r="G853" s="16" t="n">
        <v>89.87</v>
      </c>
      <c r="H853" s="0" t="n">
        <v>6</v>
      </c>
      <c r="I853" s="16" t="n">
        <f aca="false">G853*H853*0.05</f>
        <v>26.961</v>
      </c>
      <c r="J853" s="16" t="n">
        <f aca="false">G853*H853*1.05</f>
        <v>566.181</v>
      </c>
      <c r="K853" s="17" t="n">
        <v>43541</v>
      </c>
      <c r="L853" s="14" t="s">
        <v>855</v>
      </c>
      <c r="M853" s="14" t="s">
        <v>26</v>
      </c>
      <c r="N853" s="16" t="n">
        <f aca="false">G853*H853</f>
        <v>539.22</v>
      </c>
      <c r="O853" s="18" t="n">
        <v>4.761904762</v>
      </c>
      <c r="P853" s="16" t="n">
        <f aca="false">I853</f>
        <v>26.961</v>
      </c>
      <c r="Q853" s="19" t="n">
        <v>7.6</v>
      </c>
      <c r="R853" s="0" t="str">
        <f aca="false">TEXT(K853,"mmm yyyy")</f>
        <v>Mar 2019</v>
      </c>
      <c r="S853" s="14" t="n">
        <f aca="false">HOUR(TIMEVALUE(L853))</f>
        <v>16</v>
      </c>
      <c r="T853" s="0" t="str">
        <f aca="false">IF(S853&lt;12,"Morning",IF(S853&lt;17,"Afternoon","Evening"))</f>
        <v>Afternoon</v>
      </c>
      <c r="U853" s="16" t="n">
        <f aca="false">G853*H853*0.05</f>
        <v>26.961</v>
      </c>
    </row>
    <row r="854" customFormat="false" ht="15" hidden="false" customHeight="false" outlineLevel="0" collapsed="false">
      <c r="A854" s="0" t="s">
        <v>1385</v>
      </c>
      <c r="B854" s="0" t="s">
        <v>29</v>
      </c>
      <c r="C854" s="0" t="s">
        <v>56</v>
      </c>
      <c r="D854" s="0" t="s">
        <v>21</v>
      </c>
      <c r="E854" s="0" t="s">
        <v>60</v>
      </c>
      <c r="F854" s="0" t="s">
        <v>36</v>
      </c>
      <c r="G854" s="16" t="n">
        <v>63.53</v>
      </c>
      <c r="H854" s="0" t="n">
        <v>1</v>
      </c>
      <c r="I854" s="16" t="n">
        <f aca="false">G854*H854*0.05</f>
        <v>3.1765</v>
      </c>
      <c r="J854" s="16" t="n">
        <f aca="false">G854*H854*1.05</f>
        <v>66.7065</v>
      </c>
      <c r="K854" s="17" t="n">
        <v>43541</v>
      </c>
      <c r="L854" s="14" t="s">
        <v>452</v>
      </c>
      <c r="M854" s="14" t="s">
        <v>34</v>
      </c>
      <c r="N854" s="16" t="n">
        <f aca="false">G854*H854</f>
        <v>63.53</v>
      </c>
      <c r="O854" s="18" t="n">
        <v>4.761904762</v>
      </c>
      <c r="P854" s="16" t="n">
        <f aca="false">I854</f>
        <v>3.1765</v>
      </c>
      <c r="Q854" s="19" t="n">
        <v>7.5</v>
      </c>
      <c r="R854" s="0" t="str">
        <f aca="false">TEXT(K854,"mmm yyyy")</f>
        <v>Mar 2019</v>
      </c>
      <c r="S854" s="14" t="n">
        <f aca="false">HOUR(TIMEVALUE(L854))</f>
        <v>11</v>
      </c>
      <c r="T854" s="0" t="str">
        <f aca="false">IF(S854&lt;12,"Morning",IF(S854&lt;17,"Afternoon","Evening"))</f>
        <v>Morning</v>
      </c>
      <c r="U854" s="16" t="n">
        <f aca="false">G854*H854*0.05</f>
        <v>3.1765</v>
      </c>
    </row>
    <row r="855" customFormat="false" ht="15" hidden="false" customHeight="false" outlineLevel="0" collapsed="false">
      <c r="A855" s="0" t="s">
        <v>1386</v>
      </c>
      <c r="B855" s="0" t="s">
        <v>33</v>
      </c>
      <c r="C855" s="0" t="s">
        <v>65</v>
      </c>
      <c r="D855" s="0" t="s">
        <v>22</v>
      </c>
      <c r="E855" s="0" t="s">
        <v>60</v>
      </c>
      <c r="F855" s="0" t="s">
        <v>37</v>
      </c>
      <c r="G855" s="16" t="n">
        <v>82.05</v>
      </c>
      <c r="H855" s="0" t="n">
        <v>5</v>
      </c>
      <c r="I855" s="16" t="n">
        <f aca="false">G855*H855*0.05</f>
        <v>20.5125</v>
      </c>
      <c r="J855" s="16" t="n">
        <f aca="false">G855*H855*1.05</f>
        <v>430.7625</v>
      </c>
      <c r="K855" s="17" t="n">
        <v>43541</v>
      </c>
      <c r="L855" s="14" t="s">
        <v>1387</v>
      </c>
      <c r="M855" s="14" t="s">
        <v>30</v>
      </c>
      <c r="N855" s="16" t="n">
        <f aca="false">G855*H855</f>
        <v>410.25</v>
      </c>
      <c r="O855" s="18" t="n">
        <v>4.761904762</v>
      </c>
      <c r="P855" s="16" t="n">
        <f aca="false">I855</f>
        <v>20.5125</v>
      </c>
      <c r="Q855" s="19" t="n">
        <v>4.2</v>
      </c>
      <c r="R855" s="0" t="str">
        <f aca="false">TEXT(K855,"mmm yyyy")</f>
        <v>Mar 2019</v>
      </c>
      <c r="S855" s="14" t="n">
        <f aca="false">HOUR(TIMEVALUE(L855))</f>
        <v>14</v>
      </c>
      <c r="T855" s="0" t="str">
        <f aca="false">IF(S855&lt;12,"Morning",IF(S855&lt;17,"Afternoon","Evening"))</f>
        <v>Afternoon</v>
      </c>
      <c r="U855" s="16" t="n">
        <f aca="false">G855*H855*0.05</f>
        <v>20.5125</v>
      </c>
    </row>
    <row r="856" customFormat="false" ht="15" hidden="false" customHeight="false" outlineLevel="0" collapsed="false">
      <c r="A856" s="0" t="s">
        <v>1388</v>
      </c>
      <c r="B856" s="0" t="s">
        <v>33</v>
      </c>
      <c r="C856" s="0" t="s">
        <v>65</v>
      </c>
      <c r="D856" s="0" t="s">
        <v>21</v>
      </c>
      <c r="E856" s="0" t="s">
        <v>57</v>
      </c>
      <c r="F856" s="0" t="s">
        <v>31</v>
      </c>
      <c r="G856" s="16" t="n">
        <v>71.15</v>
      </c>
      <c r="H856" s="0" t="n">
        <v>5</v>
      </c>
      <c r="I856" s="16" t="n">
        <f aca="false">G856*H856*0.05</f>
        <v>17.7875</v>
      </c>
      <c r="J856" s="16" t="n">
        <f aca="false">G856*H856*1.05</f>
        <v>373.5375</v>
      </c>
      <c r="K856" s="17" t="n">
        <v>43541</v>
      </c>
      <c r="L856" s="14" t="s">
        <v>769</v>
      </c>
      <c r="M856" s="14" t="s">
        <v>26</v>
      </c>
      <c r="N856" s="16" t="n">
        <f aca="false">G856*H856</f>
        <v>355.75</v>
      </c>
      <c r="O856" s="18" t="n">
        <v>4.761904762</v>
      </c>
      <c r="P856" s="16" t="n">
        <f aca="false">I856</f>
        <v>17.7875</v>
      </c>
      <c r="Q856" s="19" t="n">
        <v>5.7</v>
      </c>
      <c r="R856" s="0" t="str">
        <f aca="false">TEXT(K856,"mmm yyyy")</f>
        <v>Mar 2019</v>
      </c>
      <c r="S856" s="14" t="n">
        <f aca="false">HOUR(TIMEVALUE(L856))</f>
        <v>13</v>
      </c>
      <c r="T856" s="0" t="str">
        <f aca="false">IF(S856&lt;12,"Morning",IF(S856&lt;17,"Afternoon","Evening"))</f>
        <v>Afternoon</v>
      </c>
      <c r="U856" s="16" t="n">
        <f aca="false">G856*H856*0.05</f>
        <v>17.7875</v>
      </c>
    </row>
    <row r="857" customFormat="false" ht="15" hidden="false" customHeight="false" outlineLevel="0" collapsed="false">
      <c r="A857" s="0" t="s">
        <v>1389</v>
      </c>
      <c r="B857" s="0" t="s">
        <v>25</v>
      </c>
      <c r="C857" s="0" t="s">
        <v>68</v>
      </c>
      <c r="D857" s="0" t="s">
        <v>21</v>
      </c>
      <c r="E857" s="0" t="s">
        <v>60</v>
      </c>
      <c r="F857" s="0" t="s">
        <v>37</v>
      </c>
      <c r="G857" s="16" t="n">
        <v>54.32</v>
      </c>
      <c r="H857" s="0" t="n">
        <v>3</v>
      </c>
      <c r="I857" s="16" t="n">
        <f aca="false">G857*H857*0.05</f>
        <v>8.148</v>
      </c>
      <c r="J857" s="16" t="n">
        <f aca="false">G857*H857*1.05</f>
        <v>171.108</v>
      </c>
      <c r="K857" s="17" t="n">
        <v>43541</v>
      </c>
      <c r="L857" s="14" t="s">
        <v>1390</v>
      </c>
      <c r="M857" s="14" t="s">
        <v>26</v>
      </c>
      <c r="N857" s="16" t="n">
        <f aca="false">G857*H857</f>
        <v>162.96</v>
      </c>
      <c r="O857" s="18" t="n">
        <v>4.761904762</v>
      </c>
      <c r="P857" s="16" t="n">
        <f aca="false">I857</f>
        <v>8.148</v>
      </c>
      <c r="Q857" s="19" t="n">
        <v>7</v>
      </c>
      <c r="R857" s="0" t="str">
        <f aca="false">TEXT(K857,"mmm yyyy")</f>
        <v>Mar 2019</v>
      </c>
      <c r="S857" s="14" t="n">
        <f aca="false">HOUR(TIMEVALUE(L857))</f>
        <v>10</v>
      </c>
      <c r="T857" s="0" t="str">
        <f aca="false">IF(S857&lt;12,"Morning",IF(S857&lt;17,"Afternoon","Evening"))</f>
        <v>Morning</v>
      </c>
      <c r="U857" s="16" t="n">
        <f aca="false">G857*H857*0.05</f>
        <v>8.148</v>
      </c>
    </row>
    <row r="858" customFormat="false" ht="15" hidden="false" customHeight="false" outlineLevel="0" collapsed="false">
      <c r="A858" s="0" t="s">
        <v>1391</v>
      </c>
      <c r="B858" s="0" t="s">
        <v>33</v>
      </c>
      <c r="C858" s="0" t="s">
        <v>65</v>
      </c>
      <c r="D858" s="0" t="s">
        <v>21</v>
      </c>
      <c r="E858" s="0" t="s">
        <v>60</v>
      </c>
      <c r="F858" s="0" t="s">
        <v>35</v>
      </c>
      <c r="G858" s="16" t="n">
        <v>60.68</v>
      </c>
      <c r="H858" s="0" t="n">
        <v>4</v>
      </c>
      <c r="I858" s="16" t="n">
        <f aca="false">G858*H858*0.05</f>
        <v>12.136</v>
      </c>
      <c r="J858" s="16" t="n">
        <f aca="false">G858*H858*1.05</f>
        <v>254.856</v>
      </c>
      <c r="K858" s="17" t="n">
        <v>43541</v>
      </c>
      <c r="L858" s="14" t="s">
        <v>1017</v>
      </c>
      <c r="M858" s="14" t="s">
        <v>26</v>
      </c>
      <c r="N858" s="16" t="n">
        <f aca="false">G858*H858</f>
        <v>242.72</v>
      </c>
      <c r="O858" s="18" t="n">
        <v>4.761904762</v>
      </c>
      <c r="P858" s="16" t="n">
        <f aca="false">I858</f>
        <v>12.136</v>
      </c>
      <c r="Q858" s="19" t="n">
        <v>4.7</v>
      </c>
      <c r="R858" s="0" t="str">
        <f aca="false">TEXT(K858,"mmm yyyy")</f>
        <v>Mar 2019</v>
      </c>
      <c r="S858" s="14" t="n">
        <f aca="false">HOUR(TIMEVALUE(L858))</f>
        <v>18</v>
      </c>
      <c r="T858" s="0" t="str">
        <f aca="false">IF(S858&lt;12,"Morning",IF(S858&lt;17,"Afternoon","Evening"))</f>
        <v>Evening</v>
      </c>
      <c r="U858" s="16" t="n">
        <f aca="false">G858*H858*0.05</f>
        <v>12.136</v>
      </c>
    </row>
    <row r="859" customFormat="false" ht="15" hidden="false" customHeight="false" outlineLevel="0" collapsed="false">
      <c r="A859" s="0" t="s">
        <v>1392</v>
      </c>
      <c r="B859" s="0" t="s">
        <v>33</v>
      </c>
      <c r="C859" s="0" t="s">
        <v>65</v>
      </c>
      <c r="D859" s="0" t="s">
        <v>21</v>
      </c>
      <c r="E859" s="0" t="s">
        <v>60</v>
      </c>
      <c r="F859" s="0" t="s">
        <v>23</v>
      </c>
      <c r="G859" s="16" t="n">
        <v>92.1</v>
      </c>
      <c r="H859" s="0" t="n">
        <v>2</v>
      </c>
      <c r="I859" s="16" t="n">
        <f aca="false">G859*H859*0.05</f>
        <v>9.21</v>
      </c>
      <c r="J859" s="16" t="n">
        <f aca="false">G859*H859*1.05</f>
        <v>193.41</v>
      </c>
      <c r="K859" s="17" t="n">
        <v>43542</v>
      </c>
      <c r="L859" s="14" t="s">
        <v>1393</v>
      </c>
      <c r="M859" s="14" t="s">
        <v>26</v>
      </c>
      <c r="N859" s="16" t="n">
        <f aca="false">G859*H859</f>
        <v>184.2</v>
      </c>
      <c r="O859" s="18" t="n">
        <v>4.761904762</v>
      </c>
      <c r="P859" s="16" t="n">
        <f aca="false">I859</f>
        <v>9.21</v>
      </c>
      <c r="Q859" s="19" t="n">
        <v>9</v>
      </c>
      <c r="R859" s="0" t="str">
        <f aca="false">TEXT(K859,"mmm yyyy")</f>
        <v>Mar 2019</v>
      </c>
      <c r="S859" s="14" t="n">
        <f aca="false">HOUR(TIMEVALUE(L859))</f>
        <v>13</v>
      </c>
      <c r="T859" s="0" t="str">
        <f aca="false">IF(S859&lt;12,"Morning",IF(S859&lt;17,"Afternoon","Evening"))</f>
        <v>Afternoon</v>
      </c>
      <c r="U859" s="16" t="n">
        <f aca="false">G859*H859*0.05</f>
        <v>9.21</v>
      </c>
    </row>
    <row r="860" customFormat="false" ht="15" hidden="false" customHeight="false" outlineLevel="0" collapsed="false">
      <c r="A860" s="0" t="s">
        <v>1394</v>
      </c>
      <c r="B860" s="0" t="s">
        <v>29</v>
      </c>
      <c r="C860" s="0" t="s">
        <v>56</v>
      </c>
      <c r="D860" s="0" t="s">
        <v>21</v>
      </c>
      <c r="E860" s="0" t="s">
        <v>60</v>
      </c>
      <c r="F860" s="0" t="s">
        <v>35</v>
      </c>
      <c r="G860" s="16" t="n">
        <v>87.96</v>
      </c>
      <c r="H860" s="0" t="n">
        <v>1</v>
      </c>
      <c r="I860" s="16" t="n">
        <f aca="false">G860*H860*0.05</f>
        <v>4.398</v>
      </c>
      <c r="J860" s="16" t="n">
        <f aca="false">G860*H860*1.05</f>
        <v>92.358</v>
      </c>
      <c r="K860" s="17" t="n">
        <v>43542</v>
      </c>
      <c r="L860" s="14" t="s">
        <v>63</v>
      </c>
      <c r="M860" s="14" t="s">
        <v>26</v>
      </c>
      <c r="N860" s="16" t="n">
        <f aca="false">G860*H860</f>
        <v>87.96</v>
      </c>
      <c r="O860" s="18" t="n">
        <v>4.761904762</v>
      </c>
      <c r="P860" s="16" t="n">
        <f aca="false">I860</f>
        <v>4.398</v>
      </c>
      <c r="Q860" s="19" t="n">
        <v>7.9</v>
      </c>
      <c r="R860" s="0" t="str">
        <f aca="false">TEXT(K860,"mmm yyyy")</f>
        <v>Mar 2019</v>
      </c>
      <c r="S860" s="14" t="n">
        <f aca="false">HOUR(TIMEVALUE(L860))</f>
        <v>12</v>
      </c>
      <c r="T860" s="0" t="str">
        <f aca="false">IF(S860&lt;12,"Morning",IF(S860&lt;17,"Afternoon","Evening"))</f>
        <v>Afternoon</v>
      </c>
      <c r="U860" s="16" t="n">
        <f aca="false">G860*H860*0.05</f>
        <v>4.398</v>
      </c>
    </row>
    <row r="861" customFormat="false" ht="15" hidden="false" customHeight="false" outlineLevel="0" collapsed="false">
      <c r="A861" s="0" t="s">
        <v>1395</v>
      </c>
      <c r="B861" s="0" t="s">
        <v>25</v>
      </c>
      <c r="C861" s="0" t="s">
        <v>68</v>
      </c>
      <c r="D861" s="0" t="s">
        <v>21</v>
      </c>
      <c r="E861" s="0" t="s">
        <v>57</v>
      </c>
      <c r="F861" s="0" t="s">
        <v>37</v>
      </c>
      <c r="G861" s="16" t="n">
        <v>52.68</v>
      </c>
      <c r="H861" s="0" t="n">
        <v>5</v>
      </c>
      <c r="I861" s="16" t="n">
        <f aca="false">G861*H861*0.05</f>
        <v>13.17</v>
      </c>
      <c r="J861" s="16" t="n">
        <f aca="false">G861*H861*1.05</f>
        <v>276.57</v>
      </c>
      <c r="K861" s="17" t="n">
        <v>43542</v>
      </c>
      <c r="L861" s="14" t="s">
        <v>112</v>
      </c>
      <c r="M861" s="14" t="s">
        <v>34</v>
      </c>
      <c r="N861" s="16" t="n">
        <f aca="false">G861*H861</f>
        <v>263.4</v>
      </c>
      <c r="O861" s="18" t="n">
        <v>4.761904762</v>
      </c>
      <c r="P861" s="16" t="n">
        <f aca="false">I861</f>
        <v>13.17</v>
      </c>
      <c r="Q861" s="19" t="n">
        <v>4.3</v>
      </c>
      <c r="R861" s="0" t="str">
        <f aca="false">TEXT(K861,"mmm yyyy")</f>
        <v>Mar 2019</v>
      </c>
      <c r="S861" s="14" t="n">
        <f aca="false">HOUR(TIMEVALUE(L861))</f>
        <v>12</v>
      </c>
      <c r="T861" s="0" t="str">
        <f aca="false">IF(S861&lt;12,"Morning",IF(S861&lt;17,"Afternoon","Evening"))</f>
        <v>Afternoon</v>
      </c>
      <c r="U861" s="16" t="n">
        <f aca="false">G861*H861*0.05</f>
        <v>13.17</v>
      </c>
    </row>
    <row r="862" customFormat="false" ht="15" hidden="false" customHeight="false" outlineLevel="0" collapsed="false">
      <c r="A862" s="0" t="s">
        <v>1396</v>
      </c>
      <c r="B862" s="0" t="s">
        <v>33</v>
      </c>
      <c r="C862" s="0" t="s">
        <v>65</v>
      </c>
      <c r="D862" s="0" t="s">
        <v>22</v>
      </c>
      <c r="E862" s="0" t="s">
        <v>57</v>
      </c>
      <c r="F862" s="0" t="s">
        <v>31</v>
      </c>
      <c r="G862" s="16" t="n">
        <v>94.72</v>
      </c>
      <c r="H862" s="0" t="n">
        <v>6</v>
      </c>
      <c r="I862" s="16" t="n">
        <f aca="false">G862*H862*0.05</f>
        <v>28.416</v>
      </c>
      <c r="J862" s="16" t="n">
        <f aca="false">G862*H862*1.05</f>
        <v>596.736</v>
      </c>
      <c r="K862" s="17" t="n">
        <v>43542</v>
      </c>
      <c r="L862" s="14" t="s">
        <v>190</v>
      </c>
      <c r="M862" s="14" t="s">
        <v>34</v>
      </c>
      <c r="N862" s="16" t="n">
        <f aca="false">G862*H862</f>
        <v>568.32</v>
      </c>
      <c r="O862" s="18" t="n">
        <v>4.761904762</v>
      </c>
      <c r="P862" s="16" t="n">
        <f aca="false">I862</f>
        <v>28.416</v>
      </c>
      <c r="Q862" s="19" t="n">
        <v>4.8</v>
      </c>
      <c r="R862" s="0" t="str">
        <f aca="false">TEXT(K862,"mmm yyyy")</f>
        <v>Mar 2019</v>
      </c>
      <c r="S862" s="14" t="n">
        <f aca="false">HOUR(TIMEVALUE(L862))</f>
        <v>12</v>
      </c>
      <c r="T862" s="0" t="str">
        <f aca="false">IF(S862&lt;12,"Morning",IF(S862&lt;17,"Afternoon","Evening"))</f>
        <v>Afternoon</v>
      </c>
      <c r="U862" s="16" t="n">
        <f aca="false">G862*H862*0.05</f>
        <v>28.416</v>
      </c>
    </row>
    <row r="863" customFormat="false" ht="15" hidden="false" customHeight="false" outlineLevel="0" collapsed="false">
      <c r="A863" s="0" t="s">
        <v>1397</v>
      </c>
      <c r="B863" s="0" t="s">
        <v>29</v>
      </c>
      <c r="C863" s="0" t="s">
        <v>56</v>
      </c>
      <c r="D863" s="0" t="s">
        <v>21</v>
      </c>
      <c r="E863" s="0" t="s">
        <v>57</v>
      </c>
      <c r="F863" s="0" t="s">
        <v>27</v>
      </c>
      <c r="G863" s="16" t="n">
        <v>46.12</v>
      </c>
      <c r="H863" s="0" t="n">
        <v>7</v>
      </c>
      <c r="I863" s="16" t="n">
        <f aca="false">G863*H863*0.05</f>
        <v>16.142</v>
      </c>
      <c r="J863" s="16" t="n">
        <f aca="false">G863*H863*1.05</f>
        <v>338.982</v>
      </c>
      <c r="K863" s="17" t="n">
        <v>43542</v>
      </c>
      <c r="L863" s="14" t="s">
        <v>970</v>
      </c>
      <c r="M863" s="14" t="s">
        <v>26</v>
      </c>
      <c r="N863" s="16" t="n">
        <f aca="false">G863*H863</f>
        <v>322.84</v>
      </c>
      <c r="O863" s="18" t="n">
        <v>4.761904762</v>
      </c>
      <c r="P863" s="16" t="n">
        <f aca="false">I863</f>
        <v>16.142</v>
      </c>
      <c r="Q863" s="19" t="n">
        <v>9.3</v>
      </c>
      <c r="R863" s="0" t="str">
        <f aca="false">TEXT(K863,"mmm yyyy")</f>
        <v>Mar 2019</v>
      </c>
      <c r="S863" s="14" t="n">
        <f aca="false">HOUR(TIMEVALUE(L863))</f>
        <v>18</v>
      </c>
      <c r="T863" s="0" t="str">
        <f aca="false">IF(S863&lt;12,"Morning",IF(S863&lt;17,"Afternoon","Evening"))</f>
        <v>Evening</v>
      </c>
      <c r="U863" s="16" t="n">
        <f aca="false">G863*H863*0.05</f>
        <v>16.142</v>
      </c>
    </row>
    <row r="864" customFormat="false" ht="15" hidden="false" customHeight="false" outlineLevel="0" collapsed="false">
      <c r="A864" s="0" t="s">
        <v>1398</v>
      </c>
      <c r="B864" s="0" t="s">
        <v>29</v>
      </c>
      <c r="C864" s="0" t="s">
        <v>56</v>
      </c>
      <c r="D864" s="0" t="s">
        <v>22</v>
      </c>
      <c r="E864" s="0" t="s">
        <v>60</v>
      </c>
      <c r="F864" s="0" t="s">
        <v>23</v>
      </c>
      <c r="G864" s="16" t="n">
        <v>96.23</v>
      </c>
      <c r="H864" s="0" t="n">
        <v>9</v>
      </c>
      <c r="I864" s="16" t="n">
        <f aca="false">G864*H864*0.05</f>
        <v>43.3035</v>
      </c>
      <c r="J864" s="16" t="n">
        <f aca="false">G864*H864*1.05</f>
        <v>909.3735</v>
      </c>
      <c r="K864" s="17" t="n">
        <v>43542</v>
      </c>
      <c r="L864" s="14" t="s">
        <v>1153</v>
      </c>
      <c r="M864" s="14" t="s">
        <v>34</v>
      </c>
      <c r="N864" s="16" t="n">
        <f aca="false">G864*H864</f>
        <v>866.07</v>
      </c>
      <c r="O864" s="18" t="n">
        <v>4.761904762</v>
      </c>
      <c r="P864" s="16" t="n">
        <f aca="false">I864</f>
        <v>43.3035</v>
      </c>
      <c r="Q864" s="19" t="n">
        <v>10</v>
      </c>
      <c r="R864" s="0" t="str">
        <f aca="false">TEXT(K864,"mmm yyyy")</f>
        <v>Mar 2019</v>
      </c>
      <c r="S864" s="14" t="n">
        <f aca="false">HOUR(TIMEVALUE(L864))</f>
        <v>13</v>
      </c>
      <c r="T864" s="0" t="str">
        <f aca="false">IF(S864&lt;12,"Morning",IF(S864&lt;17,"Afternoon","Evening"))</f>
        <v>Afternoon</v>
      </c>
      <c r="U864" s="16" t="n">
        <f aca="false">G864*H864*0.05</f>
        <v>43.3035</v>
      </c>
    </row>
    <row r="865" customFormat="false" ht="15" hidden="false" customHeight="false" outlineLevel="0" collapsed="false">
      <c r="A865" s="0" t="s">
        <v>1399</v>
      </c>
      <c r="B865" s="0" t="s">
        <v>33</v>
      </c>
      <c r="C865" s="0" t="s">
        <v>65</v>
      </c>
      <c r="D865" s="0" t="s">
        <v>21</v>
      </c>
      <c r="E865" s="0" t="s">
        <v>57</v>
      </c>
      <c r="F865" s="0" t="s">
        <v>31</v>
      </c>
      <c r="G865" s="16" t="n">
        <v>30.93</v>
      </c>
      <c r="H865" s="0" t="n">
        <v>1</v>
      </c>
      <c r="I865" s="16" t="n">
        <f aca="false">G865*H865*0.05</f>
        <v>1.5465</v>
      </c>
      <c r="J865" s="16" t="n">
        <f aca="false">G865*H865*1.05</f>
        <v>32.4765</v>
      </c>
      <c r="K865" s="17" t="n">
        <v>43542</v>
      </c>
      <c r="L865" s="14" t="s">
        <v>920</v>
      </c>
      <c r="M865" s="14" t="s">
        <v>26</v>
      </c>
      <c r="N865" s="16" t="n">
        <f aca="false">G865*H865</f>
        <v>30.93</v>
      </c>
      <c r="O865" s="18" t="n">
        <v>4.761904762</v>
      </c>
      <c r="P865" s="16" t="n">
        <f aca="false">I865</f>
        <v>1.5465</v>
      </c>
      <c r="Q865" s="19" t="n">
        <v>9.7</v>
      </c>
      <c r="R865" s="0" t="str">
        <f aca="false">TEXT(K865,"mmm yyyy")</f>
        <v>Mar 2019</v>
      </c>
      <c r="S865" s="14" t="n">
        <f aca="false">HOUR(TIMEVALUE(L865))</f>
        <v>17</v>
      </c>
      <c r="T865" s="0" t="str">
        <f aca="false">IF(S865&lt;12,"Morning",IF(S865&lt;17,"Afternoon","Evening"))</f>
        <v>Evening</v>
      </c>
      <c r="U865" s="16" t="n">
        <f aca="false">G865*H865*0.05</f>
        <v>1.5465</v>
      </c>
    </row>
    <row r="866" customFormat="false" ht="15" hidden="false" customHeight="false" outlineLevel="0" collapsed="false">
      <c r="A866" s="0" t="s">
        <v>1400</v>
      </c>
      <c r="B866" s="0" t="s">
        <v>29</v>
      </c>
      <c r="C866" s="0" t="s">
        <v>56</v>
      </c>
      <c r="D866" s="0" t="s">
        <v>22</v>
      </c>
      <c r="E866" s="0" t="s">
        <v>57</v>
      </c>
      <c r="F866" s="0" t="s">
        <v>35</v>
      </c>
      <c r="G866" s="16" t="n">
        <v>13.71</v>
      </c>
      <c r="H866" s="0" t="n">
        <v>1</v>
      </c>
      <c r="I866" s="16" t="n">
        <f aca="false">G866*H866*0.05</f>
        <v>0.6855</v>
      </c>
      <c r="J866" s="16" t="n">
        <f aca="false">G866*H866*1.05</f>
        <v>14.3955</v>
      </c>
      <c r="K866" s="17" t="n">
        <v>43542</v>
      </c>
      <c r="L866" s="14" t="s">
        <v>1401</v>
      </c>
      <c r="M866" s="14" t="s">
        <v>26</v>
      </c>
      <c r="N866" s="16" t="n">
        <f aca="false">G866*H866</f>
        <v>13.71</v>
      </c>
      <c r="O866" s="18" t="n">
        <v>4.761904762</v>
      </c>
      <c r="P866" s="16" t="n">
        <f aca="false">I866</f>
        <v>0.6855</v>
      </c>
      <c r="Q866" s="19" t="n">
        <v>6.9</v>
      </c>
      <c r="R866" s="0" t="str">
        <f aca="false">TEXT(K866,"mmm yyyy")</f>
        <v>Mar 2019</v>
      </c>
      <c r="S866" s="14" t="n">
        <f aca="false">HOUR(TIMEVALUE(L866))</f>
        <v>20</v>
      </c>
      <c r="T866" s="0" t="str">
        <f aca="false">IF(S866&lt;12,"Morning",IF(S866&lt;17,"Afternoon","Evening"))</f>
        <v>Evening</v>
      </c>
      <c r="U866" s="16" t="n">
        <f aca="false">G866*H866*0.05</f>
        <v>0.6855</v>
      </c>
    </row>
    <row r="867" customFormat="false" ht="15" hidden="false" customHeight="false" outlineLevel="0" collapsed="false">
      <c r="A867" s="0" t="s">
        <v>1402</v>
      </c>
      <c r="B867" s="0" t="s">
        <v>33</v>
      </c>
      <c r="C867" s="0" t="s">
        <v>65</v>
      </c>
      <c r="D867" s="0" t="s">
        <v>21</v>
      </c>
      <c r="E867" s="0" t="s">
        <v>57</v>
      </c>
      <c r="F867" s="0" t="s">
        <v>37</v>
      </c>
      <c r="G867" s="16" t="n">
        <v>14.89</v>
      </c>
      <c r="H867" s="0" t="n">
        <v>10</v>
      </c>
      <c r="I867" s="16" t="n">
        <f aca="false">G867*H867*0.05</f>
        <v>7.445</v>
      </c>
      <c r="J867" s="16" t="n">
        <f aca="false">G867*H867*1.05</f>
        <v>156.345</v>
      </c>
      <c r="K867" s="17" t="n">
        <v>43542</v>
      </c>
      <c r="L867" s="14" t="s">
        <v>1139</v>
      </c>
      <c r="M867" s="14" t="s">
        <v>26</v>
      </c>
      <c r="N867" s="16" t="n">
        <f aca="false">G867*H867</f>
        <v>148.9</v>
      </c>
      <c r="O867" s="18" t="n">
        <v>4.761904762</v>
      </c>
      <c r="P867" s="16" t="n">
        <f aca="false">I867</f>
        <v>7.445</v>
      </c>
      <c r="Q867" s="19" t="n">
        <v>8.4</v>
      </c>
      <c r="R867" s="0" t="str">
        <f aca="false">TEXT(K867,"mmm yyyy")</f>
        <v>Mar 2019</v>
      </c>
      <c r="S867" s="14" t="n">
        <f aca="false">HOUR(TIMEVALUE(L867))</f>
        <v>16</v>
      </c>
      <c r="T867" s="0" t="str">
        <f aca="false">IF(S867&lt;12,"Morning",IF(S867&lt;17,"Afternoon","Evening"))</f>
        <v>Afternoon</v>
      </c>
      <c r="U867" s="16" t="n">
        <f aca="false">G867*H867*0.05</f>
        <v>7.445</v>
      </c>
    </row>
    <row r="868" customFormat="false" ht="15" hidden="false" customHeight="false" outlineLevel="0" collapsed="false">
      <c r="A868" s="0" t="s">
        <v>1403</v>
      </c>
      <c r="B868" s="0" t="s">
        <v>33</v>
      </c>
      <c r="C868" s="0" t="s">
        <v>65</v>
      </c>
      <c r="D868" s="0" t="s">
        <v>22</v>
      </c>
      <c r="E868" s="0" t="s">
        <v>57</v>
      </c>
      <c r="F868" s="0" t="s">
        <v>23</v>
      </c>
      <c r="G868" s="16" t="n">
        <v>27.14</v>
      </c>
      <c r="H868" s="0" t="n">
        <v>9</v>
      </c>
      <c r="I868" s="16" t="n">
        <f aca="false">G868*H868*0.05</f>
        <v>12.213</v>
      </c>
      <c r="J868" s="16" t="n">
        <f aca="false">G868*H868*1.05</f>
        <v>256.473</v>
      </c>
      <c r="K868" s="17" t="n">
        <v>43542</v>
      </c>
      <c r="L868" s="14" t="s">
        <v>1404</v>
      </c>
      <c r="M868" s="14" t="s">
        <v>26</v>
      </c>
      <c r="N868" s="16" t="n">
        <f aca="false">G868*H868</f>
        <v>244.26</v>
      </c>
      <c r="O868" s="18" t="n">
        <v>4.761904762</v>
      </c>
      <c r="P868" s="16" t="n">
        <f aca="false">I868</f>
        <v>12.213</v>
      </c>
      <c r="Q868" s="19" t="n">
        <v>4.1</v>
      </c>
      <c r="R868" s="0" t="str">
        <f aca="false">TEXT(K868,"mmm yyyy")</f>
        <v>Mar 2019</v>
      </c>
      <c r="S868" s="14" t="n">
        <f aca="false">HOUR(TIMEVALUE(L868))</f>
        <v>20</v>
      </c>
      <c r="T868" s="0" t="str">
        <f aca="false">IF(S868&lt;12,"Morning",IF(S868&lt;17,"Afternoon","Evening"))</f>
        <v>Evening</v>
      </c>
      <c r="U868" s="16" t="n">
        <f aca="false">G868*H868*0.05</f>
        <v>12.213</v>
      </c>
    </row>
    <row r="869" customFormat="false" ht="15" hidden="false" customHeight="false" outlineLevel="0" collapsed="false">
      <c r="A869" s="0" t="s">
        <v>1405</v>
      </c>
      <c r="B869" s="0" t="s">
        <v>29</v>
      </c>
      <c r="C869" s="0" t="s">
        <v>56</v>
      </c>
      <c r="D869" s="0" t="s">
        <v>22</v>
      </c>
      <c r="E869" s="0" t="s">
        <v>57</v>
      </c>
      <c r="F869" s="0" t="s">
        <v>23</v>
      </c>
      <c r="G869" s="16" t="n">
        <v>60.67</v>
      </c>
      <c r="H869" s="0" t="n">
        <v>5</v>
      </c>
      <c r="I869" s="16" t="n">
        <f aca="false">G869*H869*0.05</f>
        <v>15.1675</v>
      </c>
      <c r="J869" s="16" t="n">
        <f aca="false">G869*H869*1.05</f>
        <v>318.5175</v>
      </c>
      <c r="K869" s="17" t="n">
        <v>43542</v>
      </c>
      <c r="L869" s="14" t="s">
        <v>1406</v>
      </c>
      <c r="M869" s="14" t="s">
        <v>34</v>
      </c>
      <c r="N869" s="16" t="n">
        <f aca="false">G869*H869</f>
        <v>303.35</v>
      </c>
      <c r="O869" s="18" t="n">
        <v>4.761904762</v>
      </c>
      <c r="P869" s="16" t="n">
        <f aca="false">I869</f>
        <v>15.1675</v>
      </c>
      <c r="Q869" s="19" t="n">
        <v>8.6</v>
      </c>
      <c r="R869" s="0" t="str">
        <f aca="false">TEXT(K869,"mmm yyyy")</f>
        <v>Mar 2019</v>
      </c>
      <c r="S869" s="14" t="n">
        <f aca="false">HOUR(TIMEVALUE(L869))</f>
        <v>16</v>
      </c>
      <c r="T869" s="0" t="str">
        <f aca="false">IF(S869&lt;12,"Morning",IF(S869&lt;17,"Afternoon","Evening"))</f>
        <v>Afternoon</v>
      </c>
      <c r="U869" s="16" t="n">
        <f aca="false">G869*H869*0.05</f>
        <v>15.1675</v>
      </c>
    </row>
    <row r="870" customFormat="false" ht="15" hidden="false" customHeight="false" outlineLevel="0" collapsed="false">
      <c r="A870" s="0" t="s">
        <v>1407</v>
      </c>
      <c r="B870" s="0" t="s">
        <v>29</v>
      </c>
      <c r="C870" s="0" t="s">
        <v>56</v>
      </c>
      <c r="D870" s="0" t="s">
        <v>22</v>
      </c>
      <c r="E870" s="0" t="s">
        <v>60</v>
      </c>
      <c r="F870" s="0" t="s">
        <v>36</v>
      </c>
      <c r="G870" s="16" t="n">
        <v>19.85</v>
      </c>
      <c r="H870" s="0" t="n">
        <v>5</v>
      </c>
      <c r="I870" s="16" t="n">
        <f aca="false">G870*H870*0.05</f>
        <v>4.9625</v>
      </c>
      <c r="J870" s="16" t="n">
        <f aca="false">G870*H870*1.05</f>
        <v>104.2125</v>
      </c>
      <c r="K870" s="17" t="n">
        <v>43542</v>
      </c>
      <c r="L870" s="14" t="s">
        <v>1408</v>
      </c>
      <c r="M870" s="14" t="s">
        <v>30</v>
      </c>
      <c r="N870" s="16" t="n">
        <f aca="false">G870*H870</f>
        <v>99.25</v>
      </c>
      <c r="O870" s="18" t="n">
        <v>4.761904762</v>
      </c>
      <c r="P870" s="16" t="n">
        <f aca="false">I870</f>
        <v>4.9625</v>
      </c>
      <c r="Q870" s="19" t="n">
        <v>7.6</v>
      </c>
      <c r="R870" s="0" t="str">
        <f aca="false">TEXT(K870,"mmm yyyy")</f>
        <v>Mar 2019</v>
      </c>
      <c r="S870" s="14" t="n">
        <f aca="false">HOUR(TIMEVALUE(L870))</f>
        <v>18</v>
      </c>
      <c r="T870" s="0" t="str">
        <f aca="false">IF(S870&lt;12,"Morning",IF(S870&lt;17,"Afternoon","Evening"))</f>
        <v>Evening</v>
      </c>
      <c r="U870" s="16" t="n">
        <f aca="false">G870*H870*0.05</f>
        <v>4.9625</v>
      </c>
    </row>
    <row r="871" customFormat="false" ht="15" hidden="false" customHeight="false" outlineLevel="0" collapsed="false">
      <c r="A871" s="0" t="s">
        <v>1409</v>
      </c>
      <c r="B871" s="0" t="s">
        <v>33</v>
      </c>
      <c r="C871" s="0" t="s">
        <v>65</v>
      </c>
      <c r="D871" s="0" t="s">
        <v>22</v>
      </c>
      <c r="E871" s="0" t="s">
        <v>60</v>
      </c>
      <c r="F871" s="0" t="s">
        <v>35</v>
      </c>
      <c r="G871" s="16" t="n">
        <v>62.66</v>
      </c>
      <c r="H871" s="0" t="n">
        <v>8</v>
      </c>
      <c r="I871" s="16" t="n">
        <f aca="false">G871*H871*0.05</f>
        <v>25.064</v>
      </c>
      <c r="J871" s="16" t="n">
        <f aca="false">G871*H871*1.05</f>
        <v>526.344</v>
      </c>
      <c r="K871" s="17" t="n">
        <v>43542</v>
      </c>
      <c r="L871" s="14" t="s">
        <v>1393</v>
      </c>
      <c r="M871" s="14" t="s">
        <v>34</v>
      </c>
      <c r="N871" s="16" t="n">
        <f aca="false">G871*H871</f>
        <v>501.28</v>
      </c>
      <c r="O871" s="18" t="n">
        <v>4.761904762</v>
      </c>
      <c r="P871" s="16" t="n">
        <f aca="false">I871</f>
        <v>25.064</v>
      </c>
      <c r="Q871" s="19" t="n">
        <v>4.5</v>
      </c>
      <c r="R871" s="0" t="str">
        <f aca="false">TEXT(K871,"mmm yyyy")</f>
        <v>Mar 2019</v>
      </c>
      <c r="S871" s="14" t="n">
        <f aca="false">HOUR(TIMEVALUE(L871))</f>
        <v>13</v>
      </c>
      <c r="T871" s="0" t="str">
        <f aca="false">IF(S871&lt;12,"Morning",IF(S871&lt;17,"Afternoon","Evening"))</f>
        <v>Afternoon</v>
      </c>
      <c r="U871" s="16" t="n">
        <f aca="false">G871*H871*0.05</f>
        <v>25.064</v>
      </c>
    </row>
    <row r="872" customFormat="false" ht="15" hidden="false" customHeight="false" outlineLevel="0" collapsed="false">
      <c r="A872" s="0" t="s">
        <v>1410</v>
      </c>
      <c r="B872" s="0" t="s">
        <v>25</v>
      </c>
      <c r="C872" s="0" t="s">
        <v>68</v>
      </c>
      <c r="D872" s="0" t="s">
        <v>22</v>
      </c>
      <c r="E872" s="0" t="s">
        <v>60</v>
      </c>
      <c r="F872" s="0" t="s">
        <v>31</v>
      </c>
      <c r="G872" s="16" t="n">
        <v>54.36</v>
      </c>
      <c r="H872" s="0" t="n">
        <v>10</v>
      </c>
      <c r="I872" s="16" t="n">
        <f aca="false">G872*H872*0.05</f>
        <v>27.18</v>
      </c>
      <c r="J872" s="16" t="n">
        <f aca="false">G872*H872*1.05</f>
        <v>570.78</v>
      </c>
      <c r="K872" s="17" t="n">
        <v>43542</v>
      </c>
      <c r="L872" s="14" t="s">
        <v>97</v>
      </c>
      <c r="M872" s="14" t="s">
        <v>26</v>
      </c>
      <c r="N872" s="16" t="n">
        <f aca="false">G872*H872</f>
        <v>543.6</v>
      </c>
      <c r="O872" s="18" t="n">
        <v>4.761904762</v>
      </c>
      <c r="P872" s="16" t="n">
        <f aca="false">I872</f>
        <v>27.18</v>
      </c>
      <c r="Q872" s="19" t="n">
        <v>5.6</v>
      </c>
      <c r="R872" s="0" t="str">
        <f aca="false">TEXT(K872,"mmm yyyy")</f>
        <v>Mar 2019</v>
      </c>
      <c r="S872" s="14" t="n">
        <f aca="false">HOUR(TIMEVALUE(L872))</f>
        <v>18</v>
      </c>
      <c r="T872" s="0" t="str">
        <f aca="false">IF(S872&lt;12,"Morning",IF(S872&lt;17,"Afternoon","Evening"))</f>
        <v>Evening</v>
      </c>
      <c r="U872" s="16" t="n">
        <f aca="false">G872*H872*0.05</f>
        <v>27.18</v>
      </c>
    </row>
    <row r="873" customFormat="false" ht="15" hidden="false" customHeight="false" outlineLevel="0" collapsed="false">
      <c r="A873" s="0" t="s">
        <v>1411</v>
      </c>
      <c r="B873" s="0" t="s">
        <v>29</v>
      </c>
      <c r="C873" s="0" t="s">
        <v>56</v>
      </c>
      <c r="D873" s="0" t="s">
        <v>21</v>
      </c>
      <c r="E873" s="0" t="s">
        <v>60</v>
      </c>
      <c r="F873" s="0" t="s">
        <v>37</v>
      </c>
      <c r="G873" s="16" t="n">
        <v>82.67</v>
      </c>
      <c r="H873" s="0" t="n">
        <v>7</v>
      </c>
      <c r="I873" s="16" t="n">
        <f aca="false">G873*H873*0.05</f>
        <v>28.9345</v>
      </c>
      <c r="J873" s="16" t="n">
        <f aca="false">G873*H873*1.05</f>
        <v>607.6245</v>
      </c>
      <c r="K873" s="17" t="n">
        <v>43542</v>
      </c>
      <c r="L873" s="14" t="s">
        <v>162</v>
      </c>
      <c r="M873" s="14" t="s">
        <v>26</v>
      </c>
      <c r="N873" s="16" t="n">
        <f aca="false">G873*H873</f>
        <v>578.69</v>
      </c>
      <c r="O873" s="18" t="n">
        <v>4.761904762</v>
      </c>
      <c r="P873" s="16" t="n">
        <f aca="false">I873</f>
        <v>28.9345</v>
      </c>
      <c r="Q873" s="19" t="n">
        <v>5.3</v>
      </c>
      <c r="R873" s="0" t="str">
        <f aca="false">TEXT(K873,"mmm yyyy")</f>
        <v>Mar 2019</v>
      </c>
      <c r="S873" s="14" t="n">
        <f aca="false">HOUR(TIMEVALUE(L873))</f>
        <v>13</v>
      </c>
      <c r="T873" s="0" t="str">
        <f aca="false">IF(S873&lt;12,"Morning",IF(S873&lt;17,"Afternoon","Evening"))</f>
        <v>Afternoon</v>
      </c>
      <c r="U873" s="16" t="n">
        <f aca="false">G873*H873*0.05</f>
        <v>28.9345</v>
      </c>
    </row>
    <row r="874" customFormat="false" ht="15" hidden="false" customHeight="false" outlineLevel="0" collapsed="false">
      <c r="A874" s="0" t="s">
        <v>1412</v>
      </c>
      <c r="B874" s="0" t="s">
        <v>33</v>
      </c>
      <c r="C874" s="0" t="s">
        <v>65</v>
      </c>
      <c r="D874" s="0" t="s">
        <v>21</v>
      </c>
      <c r="E874" s="0" t="s">
        <v>57</v>
      </c>
      <c r="F874" s="0" t="s">
        <v>36</v>
      </c>
      <c r="G874" s="16" t="n">
        <v>22.55</v>
      </c>
      <c r="H874" s="0" t="n">
        <v>2</v>
      </c>
      <c r="I874" s="16" t="n">
        <f aca="false">G874*H874*0.05</f>
        <v>2.255</v>
      </c>
      <c r="J874" s="16" t="n">
        <f aca="false">G874*H874*1.05</f>
        <v>47.355</v>
      </c>
      <c r="K874" s="17" t="n">
        <v>43542</v>
      </c>
      <c r="L874" s="14" t="s">
        <v>148</v>
      </c>
      <c r="M874" s="14" t="s">
        <v>34</v>
      </c>
      <c r="N874" s="16" t="n">
        <f aca="false">G874*H874</f>
        <v>45.1</v>
      </c>
      <c r="O874" s="18" t="n">
        <v>4.761904762</v>
      </c>
      <c r="P874" s="16" t="n">
        <f aca="false">I874</f>
        <v>2.255</v>
      </c>
      <c r="Q874" s="19" t="n">
        <v>7.6</v>
      </c>
      <c r="R874" s="0" t="str">
        <f aca="false">TEXT(K874,"mmm yyyy")</f>
        <v>Mar 2019</v>
      </c>
      <c r="S874" s="14" t="n">
        <f aca="false">HOUR(TIMEVALUE(L874))</f>
        <v>18</v>
      </c>
      <c r="T874" s="0" t="str">
        <f aca="false">IF(S874&lt;12,"Morning",IF(S874&lt;17,"Afternoon","Evening"))</f>
        <v>Evening</v>
      </c>
      <c r="U874" s="16" t="n">
        <f aca="false">G874*H874*0.05</f>
        <v>2.255</v>
      </c>
    </row>
    <row r="875" customFormat="false" ht="15" hidden="false" customHeight="false" outlineLevel="0" collapsed="false">
      <c r="A875" s="0" t="s">
        <v>1413</v>
      </c>
      <c r="B875" s="0" t="s">
        <v>29</v>
      </c>
      <c r="C875" s="0" t="s">
        <v>56</v>
      </c>
      <c r="D875" s="0" t="s">
        <v>22</v>
      </c>
      <c r="E875" s="0" t="s">
        <v>60</v>
      </c>
      <c r="F875" s="0" t="s">
        <v>27</v>
      </c>
      <c r="G875" s="16" t="n">
        <v>30.95</v>
      </c>
      <c r="H875" s="0" t="n">
        <v>5</v>
      </c>
      <c r="I875" s="16" t="n">
        <f aca="false">G875*H875*0.05</f>
        <v>7.7375</v>
      </c>
      <c r="J875" s="16" t="n">
        <f aca="false">G875*H875*1.05</f>
        <v>162.4875</v>
      </c>
      <c r="K875" s="17" t="n">
        <v>43542</v>
      </c>
      <c r="L875" s="14" t="s">
        <v>718</v>
      </c>
      <c r="M875" s="14" t="s">
        <v>34</v>
      </c>
      <c r="N875" s="16" t="n">
        <f aca="false">G875*H875</f>
        <v>154.75</v>
      </c>
      <c r="O875" s="18" t="n">
        <v>4.761904762</v>
      </c>
      <c r="P875" s="16" t="n">
        <f aca="false">I875</f>
        <v>7.7375</v>
      </c>
      <c r="Q875" s="19" t="n">
        <v>4.7</v>
      </c>
      <c r="R875" s="0" t="str">
        <f aca="false">TEXT(K875,"mmm yyyy")</f>
        <v>Mar 2019</v>
      </c>
      <c r="S875" s="14" t="n">
        <f aca="false">HOUR(TIMEVALUE(L875))</f>
        <v>18</v>
      </c>
      <c r="T875" s="0" t="str">
        <f aca="false">IF(S875&lt;12,"Morning",IF(S875&lt;17,"Afternoon","Evening"))</f>
        <v>Evening</v>
      </c>
      <c r="U875" s="16" t="n">
        <f aca="false">G875*H875*0.05</f>
        <v>7.7375</v>
      </c>
    </row>
    <row r="876" customFormat="false" ht="15" hidden="false" customHeight="false" outlineLevel="0" collapsed="false">
      <c r="A876" s="0" t="s">
        <v>1414</v>
      </c>
      <c r="B876" s="0" t="s">
        <v>29</v>
      </c>
      <c r="C876" s="0" t="s">
        <v>56</v>
      </c>
      <c r="D876" s="0" t="s">
        <v>22</v>
      </c>
      <c r="E876" s="0" t="s">
        <v>60</v>
      </c>
      <c r="F876" s="0" t="s">
        <v>31</v>
      </c>
      <c r="G876" s="16" t="n">
        <v>22.62</v>
      </c>
      <c r="H876" s="0" t="n">
        <v>10</v>
      </c>
      <c r="I876" s="16" t="n">
        <f aca="false">G876*H876*0.05</f>
        <v>11.31</v>
      </c>
      <c r="J876" s="16" t="n">
        <f aca="false">G876*H876*1.05</f>
        <v>237.51</v>
      </c>
      <c r="K876" s="17" t="n">
        <v>43542</v>
      </c>
      <c r="L876" s="14" t="s">
        <v>1415</v>
      </c>
      <c r="M876" s="14" t="s">
        <v>34</v>
      </c>
      <c r="N876" s="16" t="n">
        <f aca="false">G876*H876</f>
        <v>226.2</v>
      </c>
      <c r="O876" s="18" t="n">
        <v>4.761904762</v>
      </c>
      <c r="P876" s="16" t="n">
        <f aca="false">I876</f>
        <v>11.31</v>
      </c>
      <c r="Q876" s="19" t="n">
        <v>6.4</v>
      </c>
      <c r="R876" s="0" t="str">
        <f aca="false">TEXT(K876,"mmm yyyy")</f>
        <v>Mar 2019</v>
      </c>
      <c r="S876" s="14" t="n">
        <f aca="false">HOUR(TIMEVALUE(L876))</f>
        <v>19</v>
      </c>
      <c r="T876" s="0" t="str">
        <f aca="false">IF(S876&lt;12,"Morning",IF(S876&lt;17,"Afternoon","Evening"))</f>
        <v>Evening</v>
      </c>
      <c r="U876" s="16" t="n">
        <f aca="false">G876*H876*0.05</f>
        <v>11.31</v>
      </c>
    </row>
    <row r="877" customFormat="false" ht="15" hidden="false" customHeight="false" outlineLevel="0" collapsed="false">
      <c r="A877" s="0" t="s">
        <v>1416</v>
      </c>
      <c r="B877" s="0" t="s">
        <v>29</v>
      </c>
      <c r="C877" s="0" t="s">
        <v>56</v>
      </c>
      <c r="D877" s="0" t="s">
        <v>22</v>
      </c>
      <c r="E877" s="0" t="s">
        <v>60</v>
      </c>
      <c r="F877" s="0" t="s">
        <v>31</v>
      </c>
      <c r="G877" s="16" t="n">
        <v>68.33</v>
      </c>
      <c r="H877" s="0" t="n">
        <v>3</v>
      </c>
      <c r="I877" s="16" t="n">
        <f aca="false">G877*H877*0.05</f>
        <v>10.2495</v>
      </c>
      <c r="J877" s="16" t="n">
        <f aca="false">G877*H877*1.05</f>
        <v>215.2395</v>
      </c>
      <c r="K877" s="17" t="n">
        <v>43542</v>
      </c>
      <c r="L877" s="14" t="s">
        <v>409</v>
      </c>
      <c r="M877" s="14" t="s">
        <v>34</v>
      </c>
      <c r="N877" s="16" t="n">
        <f aca="false">G877*H877</f>
        <v>204.99</v>
      </c>
      <c r="O877" s="18" t="n">
        <v>4.761904762</v>
      </c>
      <c r="P877" s="16" t="n">
        <f aca="false">I877</f>
        <v>10.2495</v>
      </c>
      <c r="Q877" s="19" t="n">
        <v>8.5</v>
      </c>
      <c r="R877" s="0" t="str">
        <f aca="false">TEXT(K877,"mmm yyyy")</f>
        <v>Mar 2019</v>
      </c>
      <c r="S877" s="14" t="n">
        <f aca="false">HOUR(TIMEVALUE(L877))</f>
        <v>14</v>
      </c>
      <c r="T877" s="0" t="str">
        <f aca="false">IF(S877&lt;12,"Morning",IF(S877&lt;17,"Afternoon","Evening"))</f>
        <v>Afternoon</v>
      </c>
      <c r="U877" s="16" t="n">
        <f aca="false">G877*H877*0.05</f>
        <v>10.2495</v>
      </c>
    </row>
    <row r="878" customFormat="false" ht="15" hidden="false" customHeight="false" outlineLevel="0" collapsed="false">
      <c r="A878" s="0" t="s">
        <v>1417</v>
      </c>
      <c r="B878" s="0" t="s">
        <v>33</v>
      </c>
      <c r="C878" s="0" t="s">
        <v>65</v>
      </c>
      <c r="D878" s="0" t="s">
        <v>21</v>
      </c>
      <c r="E878" s="0" t="s">
        <v>60</v>
      </c>
      <c r="F878" s="0" t="s">
        <v>37</v>
      </c>
      <c r="G878" s="16" t="n">
        <v>78.09</v>
      </c>
      <c r="H878" s="0" t="n">
        <v>2</v>
      </c>
      <c r="I878" s="16" t="n">
        <f aca="false">G878*H878*0.05</f>
        <v>7.809</v>
      </c>
      <c r="J878" s="16" t="n">
        <f aca="false">G878*H878*1.05</f>
        <v>163.989</v>
      </c>
      <c r="K878" s="17" t="n">
        <v>43543</v>
      </c>
      <c r="L878" s="14" t="s">
        <v>834</v>
      </c>
      <c r="M878" s="14" t="s">
        <v>26</v>
      </c>
      <c r="N878" s="16" t="n">
        <f aca="false">G878*H878</f>
        <v>156.18</v>
      </c>
      <c r="O878" s="18" t="n">
        <v>4.761904762</v>
      </c>
      <c r="P878" s="16" t="n">
        <f aca="false">I878</f>
        <v>7.809</v>
      </c>
      <c r="Q878" s="19" t="n">
        <v>8.3</v>
      </c>
      <c r="R878" s="0" t="str">
        <f aca="false">TEXT(K878,"mmm yyyy")</f>
        <v>Mar 2019</v>
      </c>
      <c r="S878" s="14" t="n">
        <f aca="false">HOUR(TIMEVALUE(L878))</f>
        <v>15</v>
      </c>
      <c r="T878" s="0" t="str">
        <f aca="false">IF(S878&lt;12,"Morning",IF(S878&lt;17,"Afternoon","Evening"))</f>
        <v>Afternoon</v>
      </c>
      <c r="U878" s="16" t="n">
        <f aca="false">G878*H878*0.05</f>
        <v>7.809</v>
      </c>
    </row>
    <row r="879" customFormat="false" ht="15" hidden="false" customHeight="false" outlineLevel="0" collapsed="false">
      <c r="A879" s="0" t="s">
        <v>1418</v>
      </c>
      <c r="B879" s="0" t="s">
        <v>33</v>
      </c>
      <c r="C879" s="0" t="s">
        <v>65</v>
      </c>
      <c r="D879" s="0" t="s">
        <v>22</v>
      </c>
      <c r="E879" s="0" t="s">
        <v>57</v>
      </c>
      <c r="F879" s="0" t="s">
        <v>31</v>
      </c>
      <c r="G879" s="16" t="n">
        <v>96.76</v>
      </c>
      <c r="H879" s="0" t="n">
        <v>10</v>
      </c>
      <c r="I879" s="16" t="n">
        <f aca="false">G879*H879*0.05</f>
        <v>48.38</v>
      </c>
      <c r="J879" s="16" t="n">
        <f aca="false">G879*H879*1.05</f>
        <v>1015.98</v>
      </c>
      <c r="K879" s="17" t="n">
        <v>43543</v>
      </c>
      <c r="L879" s="14" t="s">
        <v>1034</v>
      </c>
      <c r="M879" s="14" t="s">
        <v>26</v>
      </c>
      <c r="N879" s="16" t="n">
        <f aca="false">G879*H879</f>
        <v>967.6</v>
      </c>
      <c r="O879" s="18" t="n">
        <v>4.761904762</v>
      </c>
      <c r="P879" s="16" t="n">
        <f aca="false">I879</f>
        <v>48.38</v>
      </c>
      <c r="Q879" s="19" t="n">
        <v>7.2</v>
      </c>
      <c r="R879" s="0" t="str">
        <f aca="false">TEXT(K879,"mmm yyyy")</f>
        <v>Mar 2019</v>
      </c>
      <c r="S879" s="14" t="n">
        <f aca="false">HOUR(TIMEVALUE(L879))</f>
        <v>18</v>
      </c>
      <c r="T879" s="0" t="str">
        <f aca="false">IF(S879&lt;12,"Morning",IF(S879&lt;17,"Afternoon","Evening"))</f>
        <v>Evening</v>
      </c>
      <c r="U879" s="16" t="n">
        <f aca="false">G879*H879*0.05</f>
        <v>48.38</v>
      </c>
    </row>
    <row r="880" customFormat="false" ht="15" hidden="false" customHeight="false" outlineLevel="0" collapsed="false">
      <c r="A880" s="0" t="s">
        <v>1419</v>
      </c>
      <c r="B880" s="0" t="s">
        <v>33</v>
      </c>
      <c r="C880" s="0" t="s">
        <v>65</v>
      </c>
      <c r="D880" s="0" t="s">
        <v>22</v>
      </c>
      <c r="E880" s="0" t="s">
        <v>60</v>
      </c>
      <c r="F880" s="0" t="s">
        <v>27</v>
      </c>
      <c r="G880" s="16" t="n">
        <v>34.34</v>
      </c>
      <c r="H880" s="0" t="n">
        <v>4</v>
      </c>
      <c r="I880" s="16" t="n">
        <f aca="false">G880*H880*0.05</f>
        <v>6.868</v>
      </c>
      <c r="J880" s="16" t="n">
        <f aca="false">G880*H880*1.05</f>
        <v>144.228</v>
      </c>
      <c r="K880" s="17" t="n">
        <v>43543</v>
      </c>
      <c r="L880" s="14" t="s">
        <v>842</v>
      </c>
      <c r="M880" s="14" t="s">
        <v>30</v>
      </c>
      <c r="N880" s="16" t="n">
        <f aca="false">G880*H880</f>
        <v>137.36</v>
      </c>
      <c r="O880" s="18" t="n">
        <v>4.761904762</v>
      </c>
      <c r="P880" s="16" t="n">
        <f aca="false">I880</f>
        <v>6.868</v>
      </c>
      <c r="Q880" s="19" t="n">
        <v>6</v>
      </c>
      <c r="R880" s="0" t="str">
        <f aca="false">TEXT(K880,"mmm yyyy")</f>
        <v>Mar 2019</v>
      </c>
      <c r="S880" s="14" t="n">
        <f aca="false">HOUR(TIMEVALUE(L880))</f>
        <v>17</v>
      </c>
      <c r="T880" s="0" t="str">
        <f aca="false">IF(S880&lt;12,"Morning",IF(S880&lt;17,"Afternoon","Evening"))</f>
        <v>Evening</v>
      </c>
      <c r="U880" s="16" t="n">
        <f aca="false">G880*H880*0.05</f>
        <v>6.868</v>
      </c>
    </row>
    <row r="881" customFormat="false" ht="15" hidden="false" customHeight="false" outlineLevel="0" collapsed="false">
      <c r="A881" s="0" t="s">
        <v>1420</v>
      </c>
      <c r="B881" s="0" t="s">
        <v>29</v>
      </c>
      <c r="C881" s="0" t="s">
        <v>56</v>
      </c>
      <c r="D881" s="0" t="s">
        <v>22</v>
      </c>
      <c r="E881" s="0" t="s">
        <v>57</v>
      </c>
      <c r="F881" s="0" t="s">
        <v>23</v>
      </c>
      <c r="G881" s="16" t="n">
        <v>87.66</v>
      </c>
      <c r="H881" s="0" t="n">
        <v>2</v>
      </c>
      <c r="I881" s="16" t="n">
        <f aca="false">G881*H881*0.05</f>
        <v>8.766</v>
      </c>
      <c r="J881" s="16" t="n">
        <f aca="false">G881*H881*1.05</f>
        <v>184.086</v>
      </c>
      <c r="K881" s="17" t="n">
        <v>43543</v>
      </c>
      <c r="L881" s="14" t="s">
        <v>221</v>
      </c>
      <c r="M881" s="14" t="s">
        <v>30</v>
      </c>
      <c r="N881" s="16" t="n">
        <f aca="false">G881*H881</f>
        <v>175.32</v>
      </c>
      <c r="O881" s="18" t="n">
        <v>4.761904762</v>
      </c>
      <c r="P881" s="16" t="n">
        <f aca="false">I881</f>
        <v>8.766</v>
      </c>
      <c r="Q881" s="19" t="n">
        <v>7.8</v>
      </c>
      <c r="R881" s="0" t="str">
        <f aca="false">TEXT(K881,"mmm yyyy")</f>
        <v>Mar 2019</v>
      </c>
      <c r="S881" s="14" t="n">
        <f aca="false">HOUR(TIMEVALUE(L881))</f>
        <v>18</v>
      </c>
      <c r="T881" s="0" t="str">
        <f aca="false">IF(S881&lt;12,"Morning",IF(S881&lt;17,"Afternoon","Evening"))</f>
        <v>Evening</v>
      </c>
      <c r="U881" s="16" t="n">
        <f aca="false">G881*H881*0.05</f>
        <v>8.766</v>
      </c>
    </row>
    <row r="882" customFormat="false" ht="15" hidden="false" customHeight="false" outlineLevel="0" collapsed="false">
      <c r="A882" s="0" t="s">
        <v>1421</v>
      </c>
      <c r="B882" s="0" t="s">
        <v>25</v>
      </c>
      <c r="C882" s="0" t="s">
        <v>68</v>
      </c>
      <c r="D882" s="0" t="s">
        <v>21</v>
      </c>
      <c r="E882" s="0" t="s">
        <v>57</v>
      </c>
      <c r="F882" s="0" t="s">
        <v>36</v>
      </c>
      <c r="G882" s="16" t="n">
        <v>88.82</v>
      </c>
      <c r="H882" s="0" t="n">
        <v>6</v>
      </c>
      <c r="I882" s="16" t="n">
        <f aca="false">G882*H882*0.05</f>
        <v>26.646</v>
      </c>
      <c r="J882" s="16" t="n">
        <f aca="false">G882*H882*1.05</f>
        <v>559.566</v>
      </c>
      <c r="K882" s="17" t="n">
        <v>43543</v>
      </c>
      <c r="L882" s="14" t="s">
        <v>1247</v>
      </c>
      <c r="M882" s="14" t="s">
        <v>26</v>
      </c>
      <c r="N882" s="16" t="n">
        <f aca="false">G882*H882</f>
        <v>532.92</v>
      </c>
      <c r="O882" s="18" t="n">
        <v>4.761904762</v>
      </c>
      <c r="P882" s="16" t="n">
        <f aca="false">I882</f>
        <v>26.646</v>
      </c>
      <c r="Q882" s="19" t="n">
        <v>5.2</v>
      </c>
      <c r="R882" s="0" t="str">
        <f aca="false">TEXT(K882,"mmm yyyy")</f>
        <v>Mar 2019</v>
      </c>
      <c r="S882" s="14" t="n">
        <f aca="false">HOUR(TIMEVALUE(L882))</f>
        <v>18</v>
      </c>
      <c r="T882" s="0" t="str">
        <f aca="false">IF(S882&lt;12,"Morning",IF(S882&lt;17,"Afternoon","Evening"))</f>
        <v>Evening</v>
      </c>
      <c r="U882" s="16" t="n">
        <f aca="false">G882*H882*0.05</f>
        <v>26.646</v>
      </c>
    </row>
    <row r="883" customFormat="false" ht="15" hidden="false" customHeight="false" outlineLevel="0" collapsed="false">
      <c r="A883" s="0" t="s">
        <v>1422</v>
      </c>
      <c r="B883" s="0" t="s">
        <v>29</v>
      </c>
      <c r="C883" s="0" t="s">
        <v>56</v>
      </c>
      <c r="D883" s="0" t="s">
        <v>22</v>
      </c>
      <c r="E883" s="0" t="s">
        <v>57</v>
      </c>
      <c r="F883" s="0" t="s">
        <v>31</v>
      </c>
      <c r="G883" s="16" t="n">
        <v>23.81</v>
      </c>
      <c r="H883" s="0" t="n">
        <v>1</v>
      </c>
      <c r="I883" s="16" t="n">
        <f aca="false">G883*H883*0.05</f>
        <v>1.1905</v>
      </c>
      <c r="J883" s="16" t="n">
        <f aca="false">G883*H883*1.05</f>
        <v>25.0005</v>
      </c>
      <c r="K883" s="17" t="n">
        <v>43543</v>
      </c>
      <c r="L883" s="14" t="s">
        <v>374</v>
      </c>
      <c r="M883" s="14" t="s">
        <v>34</v>
      </c>
      <c r="N883" s="16" t="n">
        <f aca="false">G883*H883</f>
        <v>23.81</v>
      </c>
      <c r="O883" s="18" t="n">
        <v>4.761904762</v>
      </c>
      <c r="P883" s="16" t="n">
        <f aca="false">I883</f>
        <v>1.1905</v>
      </c>
      <c r="Q883" s="19" t="n">
        <v>8.9</v>
      </c>
      <c r="R883" s="0" t="str">
        <f aca="false">TEXT(K883,"mmm yyyy")</f>
        <v>Mar 2019</v>
      </c>
      <c r="S883" s="14" t="n">
        <f aca="false">HOUR(TIMEVALUE(L883))</f>
        <v>16</v>
      </c>
      <c r="T883" s="0" t="str">
        <f aca="false">IF(S883&lt;12,"Morning",IF(S883&lt;17,"Afternoon","Evening"))</f>
        <v>Afternoon</v>
      </c>
      <c r="U883" s="16" t="n">
        <f aca="false">G883*H883*0.05</f>
        <v>1.1905</v>
      </c>
    </row>
    <row r="884" customFormat="false" ht="15" hidden="false" customHeight="false" outlineLevel="0" collapsed="false">
      <c r="A884" s="0" t="s">
        <v>1423</v>
      </c>
      <c r="B884" s="0" t="s">
        <v>29</v>
      </c>
      <c r="C884" s="0" t="s">
        <v>56</v>
      </c>
      <c r="D884" s="0" t="s">
        <v>21</v>
      </c>
      <c r="E884" s="0" t="s">
        <v>60</v>
      </c>
      <c r="F884" s="0" t="s">
        <v>35</v>
      </c>
      <c r="G884" s="16" t="n">
        <v>88.59</v>
      </c>
      <c r="H884" s="0" t="n">
        <v>1</v>
      </c>
      <c r="I884" s="16" t="n">
        <f aca="false">G884*H884*0.05</f>
        <v>4.4295</v>
      </c>
      <c r="J884" s="16" t="n">
        <f aca="false">G884*H884*1.05</f>
        <v>93.0195</v>
      </c>
      <c r="K884" s="17" t="n">
        <v>43543</v>
      </c>
      <c r="L884" s="14" t="s">
        <v>446</v>
      </c>
      <c r="M884" s="14" t="s">
        <v>26</v>
      </c>
      <c r="N884" s="16" t="n">
        <f aca="false">G884*H884</f>
        <v>88.59</v>
      </c>
      <c r="O884" s="18" t="n">
        <v>4.761904762</v>
      </c>
      <c r="P884" s="16" t="n">
        <f aca="false">I884</f>
        <v>4.4295</v>
      </c>
      <c r="Q884" s="19" t="n">
        <v>9.1</v>
      </c>
      <c r="R884" s="0" t="str">
        <f aca="false">TEXT(K884,"mmm yyyy")</f>
        <v>Mar 2019</v>
      </c>
      <c r="S884" s="14" t="n">
        <f aca="false">HOUR(TIMEVALUE(L884))</f>
        <v>20</v>
      </c>
      <c r="T884" s="0" t="str">
        <f aca="false">IF(S884&lt;12,"Morning",IF(S884&lt;17,"Afternoon","Evening"))</f>
        <v>Evening</v>
      </c>
      <c r="U884" s="16" t="n">
        <f aca="false">G884*H884*0.05</f>
        <v>4.4295</v>
      </c>
    </row>
    <row r="885" customFormat="false" ht="15" hidden="false" customHeight="false" outlineLevel="0" collapsed="false">
      <c r="A885" s="0" t="s">
        <v>1424</v>
      </c>
      <c r="B885" s="0" t="s">
        <v>33</v>
      </c>
      <c r="C885" s="0" t="s">
        <v>65</v>
      </c>
      <c r="D885" s="0" t="s">
        <v>22</v>
      </c>
      <c r="E885" s="0" t="s">
        <v>57</v>
      </c>
      <c r="F885" s="0" t="s">
        <v>35</v>
      </c>
      <c r="G885" s="16" t="n">
        <v>55.58</v>
      </c>
      <c r="H885" s="0" t="n">
        <v>6</v>
      </c>
      <c r="I885" s="16" t="n">
        <f aca="false">G885*H885*0.05</f>
        <v>16.674</v>
      </c>
      <c r="J885" s="16" t="n">
        <f aca="false">G885*H885*1.05</f>
        <v>350.154</v>
      </c>
      <c r="K885" s="17" t="n">
        <v>43543</v>
      </c>
      <c r="L885" s="14" t="s">
        <v>142</v>
      </c>
      <c r="M885" s="14" t="s">
        <v>30</v>
      </c>
      <c r="N885" s="16" t="n">
        <f aca="false">G885*H885</f>
        <v>333.48</v>
      </c>
      <c r="O885" s="18" t="n">
        <v>4.761904762</v>
      </c>
      <c r="P885" s="16" t="n">
        <f aca="false">I885</f>
        <v>16.674</v>
      </c>
      <c r="Q885" s="19" t="n">
        <v>7.7</v>
      </c>
      <c r="R885" s="0" t="str">
        <f aca="false">TEXT(K885,"mmm yyyy")</f>
        <v>Mar 2019</v>
      </c>
      <c r="S885" s="14" t="n">
        <f aca="false">HOUR(TIMEVALUE(L885))</f>
        <v>13</v>
      </c>
      <c r="T885" s="0" t="str">
        <f aca="false">IF(S885&lt;12,"Morning",IF(S885&lt;17,"Afternoon","Evening"))</f>
        <v>Afternoon</v>
      </c>
      <c r="U885" s="16" t="n">
        <f aca="false">G885*H885*0.05</f>
        <v>16.674</v>
      </c>
    </row>
    <row r="886" customFormat="false" ht="15" hidden="false" customHeight="false" outlineLevel="0" collapsed="false">
      <c r="A886" s="0" t="s">
        <v>1425</v>
      </c>
      <c r="B886" s="0" t="s">
        <v>25</v>
      </c>
      <c r="C886" s="0" t="s">
        <v>68</v>
      </c>
      <c r="D886" s="0" t="s">
        <v>21</v>
      </c>
      <c r="E886" s="0" t="s">
        <v>57</v>
      </c>
      <c r="F886" s="0" t="s">
        <v>31</v>
      </c>
      <c r="G886" s="16" t="n">
        <v>60.43</v>
      </c>
      <c r="H886" s="0" t="n">
        <v>9</v>
      </c>
      <c r="I886" s="16" t="n">
        <f aca="false">G886*H886*0.05</f>
        <v>27.1935</v>
      </c>
      <c r="J886" s="16" t="n">
        <f aca="false">G886*H886*1.05</f>
        <v>571.0635</v>
      </c>
      <c r="K886" s="17" t="n">
        <v>43543</v>
      </c>
      <c r="L886" s="14" t="s">
        <v>196</v>
      </c>
      <c r="M886" s="14" t="s">
        <v>30</v>
      </c>
      <c r="N886" s="16" t="n">
        <f aca="false">G886*H886</f>
        <v>543.87</v>
      </c>
      <c r="O886" s="18" t="n">
        <v>4.761904762</v>
      </c>
      <c r="P886" s="16" t="n">
        <f aca="false">I886</f>
        <v>27.1935</v>
      </c>
      <c r="Q886" s="19" t="n">
        <v>5.5</v>
      </c>
      <c r="R886" s="0" t="str">
        <f aca="false">TEXT(K886,"mmm yyyy")</f>
        <v>Mar 2019</v>
      </c>
      <c r="S886" s="14" t="n">
        <f aca="false">HOUR(TIMEVALUE(L886))</f>
        <v>17</v>
      </c>
      <c r="T886" s="0" t="str">
        <f aca="false">IF(S886&lt;12,"Morning",IF(S886&lt;17,"Afternoon","Evening"))</f>
        <v>Evening</v>
      </c>
      <c r="U886" s="16" t="n">
        <f aca="false">G886*H886*0.05</f>
        <v>27.1935</v>
      </c>
    </row>
    <row r="887" customFormat="false" ht="15" hidden="false" customHeight="false" outlineLevel="0" collapsed="false">
      <c r="A887" s="0" t="s">
        <v>1426</v>
      </c>
      <c r="B887" s="0" t="s">
        <v>25</v>
      </c>
      <c r="C887" s="0" t="s">
        <v>68</v>
      </c>
      <c r="D887" s="0" t="s">
        <v>21</v>
      </c>
      <c r="E887" s="0" t="s">
        <v>57</v>
      </c>
      <c r="F887" s="0" t="s">
        <v>31</v>
      </c>
      <c r="G887" s="16" t="n">
        <v>65.79</v>
      </c>
      <c r="H887" s="0" t="n">
        <v>6</v>
      </c>
      <c r="I887" s="16" t="n">
        <f aca="false">G887*H887*0.05</f>
        <v>19.737</v>
      </c>
      <c r="J887" s="16" t="n">
        <f aca="false">G887*H887*1.05</f>
        <v>414.477</v>
      </c>
      <c r="K887" s="17" t="n">
        <v>43543</v>
      </c>
      <c r="L887" s="14" t="s">
        <v>1427</v>
      </c>
      <c r="M887" s="14" t="s">
        <v>34</v>
      </c>
      <c r="N887" s="16" t="n">
        <f aca="false">G887*H887</f>
        <v>394.74</v>
      </c>
      <c r="O887" s="18" t="n">
        <v>4.761904762</v>
      </c>
      <c r="P887" s="16" t="n">
        <f aca="false">I887</f>
        <v>19.737</v>
      </c>
      <c r="Q887" s="19" t="n">
        <v>7.1</v>
      </c>
      <c r="R887" s="0" t="str">
        <f aca="false">TEXT(K887,"mmm yyyy")</f>
        <v>Mar 2019</v>
      </c>
      <c r="S887" s="14" t="n">
        <f aca="false">HOUR(TIMEVALUE(L887))</f>
        <v>16</v>
      </c>
      <c r="T887" s="0" t="str">
        <f aca="false">IF(S887&lt;12,"Morning",IF(S887&lt;17,"Afternoon","Evening"))</f>
        <v>Afternoon</v>
      </c>
      <c r="U887" s="16" t="n">
        <f aca="false">G887*H887*0.05</f>
        <v>19.737</v>
      </c>
    </row>
    <row r="888" customFormat="false" ht="15" hidden="false" customHeight="false" outlineLevel="0" collapsed="false">
      <c r="A888" s="0" t="s">
        <v>1428</v>
      </c>
      <c r="B888" s="0" t="s">
        <v>25</v>
      </c>
      <c r="C888" s="0" t="s">
        <v>68</v>
      </c>
      <c r="D888" s="0" t="s">
        <v>21</v>
      </c>
      <c r="E888" s="0" t="s">
        <v>60</v>
      </c>
      <c r="F888" s="0" t="s">
        <v>23</v>
      </c>
      <c r="G888" s="16" t="n">
        <v>89.39</v>
      </c>
      <c r="H888" s="0" t="n">
        <v>3</v>
      </c>
      <c r="I888" s="16" t="n">
        <f aca="false">G888*H888*0.05</f>
        <v>13.4085</v>
      </c>
      <c r="J888" s="16" t="n">
        <f aca="false">G888*H888*1.05</f>
        <v>281.5785</v>
      </c>
      <c r="K888" s="17" t="n">
        <v>43543</v>
      </c>
      <c r="L888" s="14" t="s">
        <v>294</v>
      </c>
      <c r="M888" s="14" t="s">
        <v>34</v>
      </c>
      <c r="N888" s="16" t="n">
        <f aca="false">G888*H888</f>
        <v>268.17</v>
      </c>
      <c r="O888" s="18" t="n">
        <v>4.761904762</v>
      </c>
      <c r="P888" s="16" t="n">
        <f aca="false">I888</f>
        <v>13.4085</v>
      </c>
      <c r="Q888" s="19" t="n">
        <v>9.5</v>
      </c>
      <c r="R888" s="0" t="str">
        <f aca="false">TEXT(K888,"mmm yyyy")</f>
        <v>Mar 2019</v>
      </c>
      <c r="S888" s="14" t="n">
        <f aca="false">HOUR(TIMEVALUE(L888))</f>
        <v>14</v>
      </c>
      <c r="T888" s="0" t="str">
        <f aca="false">IF(S888&lt;12,"Morning",IF(S888&lt;17,"Afternoon","Evening"))</f>
        <v>Afternoon</v>
      </c>
      <c r="U888" s="16" t="n">
        <f aca="false">G888*H888*0.05</f>
        <v>13.4085</v>
      </c>
    </row>
    <row r="889" customFormat="false" ht="15" hidden="false" customHeight="false" outlineLevel="0" collapsed="false">
      <c r="A889" s="0" t="s">
        <v>1429</v>
      </c>
      <c r="B889" s="0" t="s">
        <v>29</v>
      </c>
      <c r="C889" s="0" t="s">
        <v>56</v>
      </c>
      <c r="D889" s="0" t="s">
        <v>21</v>
      </c>
      <c r="E889" s="0" t="s">
        <v>57</v>
      </c>
      <c r="F889" s="0" t="s">
        <v>35</v>
      </c>
      <c r="G889" s="16" t="n">
        <v>51.21</v>
      </c>
      <c r="H889" s="0" t="n">
        <v>1</v>
      </c>
      <c r="I889" s="16" t="n">
        <f aca="false">G889*H889*0.05</f>
        <v>2.5605</v>
      </c>
      <c r="J889" s="16" t="n">
        <f aca="false">G889*H889*1.05</f>
        <v>53.7705</v>
      </c>
      <c r="K889" s="17" t="n">
        <v>43543</v>
      </c>
      <c r="L889" s="14" t="s">
        <v>136</v>
      </c>
      <c r="M889" s="14" t="s">
        <v>34</v>
      </c>
      <c r="N889" s="16" t="n">
        <f aca="false">G889*H889</f>
        <v>51.21</v>
      </c>
      <c r="O889" s="18" t="n">
        <v>4.761904762</v>
      </c>
      <c r="P889" s="16" t="n">
        <f aca="false">I889</f>
        <v>2.5605</v>
      </c>
      <c r="Q889" s="19" t="n">
        <v>6.8</v>
      </c>
      <c r="R889" s="0" t="str">
        <f aca="false">TEXT(K889,"mmm yyyy")</f>
        <v>Mar 2019</v>
      </c>
      <c r="S889" s="14" t="n">
        <f aca="false">HOUR(TIMEVALUE(L889))</f>
        <v>13</v>
      </c>
      <c r="T889" s="0" t="str">
        <f aca="false">IF(S889&lt;12,"Morning",IF(S889&lt;17,"Afternoon","Evening"))</f>
        <v>Afternoon</v>
      </c>
      <c r="U889" s="16" t="n">
        <f aca="false">G889*H889*0.05</f>
        <v>2.5605</v>
      </c>
    </row>
    <row r="890" customFormat="false" ht="15" hidden="false" customHeight="false" outlineLevel="0" collapsed="false">
      <c r="A890" s="0" t="s">
        <v>1430</v>
      </c>
      <c r="B890" s="0" t="s">
        <v>29</v>
      </c>
      <c r="C890" s="0" t="s">
        <v>56</v>
      </c>
      <c r="D890" s="0" t="s">
        <v>22</v>
      </c>
      <c r="E890" s="0" t="s">
        <v>60</v>
      </c>
      <c r="F890" s="0" t="s">
        <v>23</v>
      </c>
      <c r="G890" s="16" t="n">
        <v>28.91</v>
      </c>
      <c r="H890" s="0" t="n">
        <v>4</v>
      </c>
      <c r="I890" s="16" t="n">
        <f aca="false">G890*H890*0.05</f>
        <v>5.782</v>
      </c>
      <c r="J890" s="16" t="n">
        <f aca="false">G890*H890*1.05</f>
        <v>121.422</v>
      </c>
      <c r="K890" s="17" t="n">
        <v>43543</v>
      </c>
      <c r="L890" s="14" t="s">
        <v>399</v>
      </c>
      <c r="M890" s="14" t="s">
        <v>26</v>
      </c>
      <c r="N890" s="16" t="n">
        <f aca="false">G890*H890</f>
        <v>115.64</v>
      </c>
      <c r="O890" s="18" t="n">
        <v>4.761904762</v>
      </c>
      <c r="P890" s="16" t="n">
        <f aca="false">I890</f>
        <v>5.782</v>
      </c>
      <c r="Q890" s="19" t="n">
        <v>6.8</v>
      </c>
      <c r="R890" s="0" t="str">
        <f aca="false">TEXT(K890,"mmm yyyy")</f>
        <v>Mar 2019</v>
      </c>
      <c r="S890" s="14" t="n">
        <f aca="false">HOUR(TIMEVALUE(L890))</f>
        <v>13</v>
      </c>
      <c r="T890" s="0" t="str">
        <f aca="false">IF(S890&lt;12,"Morning",IF(S890&lt;17,"Afternoon","Evening"))</f>
        <v>Afternoon</v>
      </c>
      <c r="U890" s="16" t="n">
        <f aca="false">G890*H890*0.05</f>
        <v>5.782</v>
      </c>
    </row>
    <row r="891" customFormat="false" ht="15" hidden="false" customHeight="false" outlineLevel="0" collapsed="false">
      <c r="A891" s="0" t="s">
        <v>1431</v>
      </c>
      <c r="B891" s="0" t="s">
        <v>25</v>
      </c>
      <c r="C891" s="0" t="s">
        <v>68</v>
      </c>
      <c r="D891" s="0" t="s">
        <v>21</v>
      </c>
      <c r="E891" s="0" t="s">
        <v>60</v>
      </c>
      <c r="F891" s="0" t="s">
        <v>27</v>
      </c>
      <c r="G891" s="16" t="n">
        <v>97.11</v>
      </c>
      <c r="H891" s="0" t="n">
        <v>10</v>
      </c>
      <c r="I891" s="16" t="n">
        <f aca="false">G891*H891*0.05</f>
        <v>48.555</v>
      </c>
      <c r="J891" s="16" t="n">
        <f aca="false">G891*H891*1.05</f>
        <v>1019.655</v>
      </c>
      <c r="K891" s="17" t="n">
        <v>43544</v>
      </c>
      <c r="L891" s="14" t="s">
        <v>692</v>
      </c>
      <c r="M891" s="14" t="s">
        <v>26</v>
      </c>
      <c r="N891" s="16" t="n">
        <f aca="false">G891*H891</f>
        <v>971.1</v>
      </c>
      <c r="O891" s="18" t="n">
        <v>4.761904762</v>
      </c>
      <c r="P891" s="16" t="n">
        <f aca="false">I891</f>
        <v>48.555</v>
      </c>
      <c r="Q891" s="19" t="n">
        <v>9.8</v>
      </c>
      <c r="R891" s="0" t="str">
        <f aca="false">TEXT(K891,"mmm yyyy")</f>
        <v>Mar 2019</v>
      </c>
      <c r="S891" s="14" t="n">
        <f aca="false">HOUR(TIMEVALUE(L891))</f>
        <v>15</v>
      </c>
      <c r="T891" s="0" t="str">
        <f aca="false">IF(S891&lt;12,"Morning",IF(S891&lt;17,"Afternoon","Evening"))</f>
        <v>Afternoon</v>
      </c>
      <c r="U891" s="16" t="n">
        <f aca="false">G891*H891*0.05</f>
        <v>48.555</v>
      </c>
    </row>
    <row r="892" customFormat="false" ht="15" hidden="false" customHeight="false" outlineLevel="0" collapsed="false">
      <c r="A892" s="0" t="s">
        <v>1432</v>
      </c>
      <c r="B892" s="0" t="s">
        <v>25</v>
      </c>
      <c r="C892" s="0" t="s">
        <v>68</v>
      </c>
      <c r="D892" s="0" t="s">
        <v>21</v>
      </c>
      <c r="E892" s="0" t="s">
        <v>57</v>
      </c>
      <c r="F892" s="0" t="s">
        <v>35</v>
      </c>
      <c r="G892" s="16" t="n">
        <v>61.65</v>
      </c>
      <c r="H892" s="0" t="n">
        <v>10</v>
      </c>
      <c r="I892" s="16" t="n">
        <f aca="false">G892*H892*0.05</f>
        <v>30.825</v>
      </c>
      <c r="J892" s="16" t="n">
        <f aca="false">G892*H892*1.05</f>
        <v>647.325</v>
      </c>
      <c r="K892" s="17" t="n">
        <v>43544</v>
      </c>
      <c r="L892" s="14" t="s">
        <v>230</v>
      </c>
      <c r="M892" s="14" t="s">
        <v>34</v>
      </c>
      <c r="N892" s="16" t="n">
        <f aca="false">G892*H892</f>
        <v>616.5</v>
      </c>
      <c r="O892" s="18" t="n">
        <v>4.761904762</v>
      </c>
      <c r="P892" s="16" t="n">
        <f aca="false">I892</f>
        <v>30.825</v>
      </c>
      <c r="Q892" s="19" t="n">
        <v>9.7</v>
      </c>
      <c r="R892" s="0" t="str">
        <f aca="false">TEXT(K892,"mmm yyyy")</f>
        <v>Mar 2019</v>
      </c>
      <c r="S892" s="14" t="n">
        <f aca="false">HOUR(TIMEVALUE(L892))</f>
        <v>20</v>
      </c>
      <c r="T892" s="0" t="str">
        <f aca="false">IF(S892&lt;12,"Morning",IF(S892&lt;17,"Afternoon","Evening"))</f>
        <v>Evening</v>
      </c>
      <c r="U892" s="16" t="n">
        <f aca="false">G892*H892*0.05</f>
        <v>30.825</v>
      </c>
    </row>
    <row r="893" customFormat="false" ht="15" hidden="false" customHeight="false" outlineLevel="0" collapsed="false">
      <c r="A893" s="0" t="s">
        <v>1433</v>
      </c>
      <c r="B893" s="0" t="s">
        <v>29</v>
      </c>
      <c r="C893" s="0" t="s">
        <v>56</v>
      </c>
      <c r="D893" s="0" t="s">
        <v>21</v>
      </c>
      <c r="E893" s="0" t="s">
        <v>60</v>
      </c>
      <c r="F893" s="0" t="s">
        <v>31</v>
      </c>
      <c r="G893" s="16" t="n">
        <v>13.6</v>
      </c>
      <c r="H893" s="0" t="n">
        <v>2</v>
      </c>
      <c r="I893" s="16" t="n">
        <f aca="false">G893*H893*0.05</f>
        <v>1.36</v>
      </c>
      <c r="J893" s="16" t="n">
        <f aca="false">G893*H893*1.05</f>
        <v>28.56</v>
      </c>
      <c r="K893" s="17" t="n">
        <v>43544</v>
      </c>
      <c r="L893" s="14" t="s">
        <v>1393</v>
      </c>
      <c r="M893" s="14" t="s">
        <v>34</v>
      </c>
      <c r="N893" s="16" t="n">
        <f aca="false">G893*H893</f>
        <v>27.2</v>
      </c>
      <c r="O893" s="18" t="n">
        <v>4.761904762</v>
      </c>
      <c r="P893" s="16" t="n">
        <f aca="false">I893</f>
        <v>1.36</v>
      </c>
      <c r="Q893" s="19" t="n">
        <v>4.9</v>
      </c>
      <c r="R893" s="0" t="str">
        <f aca="false">TEXT(K893,"mmm yyyy")</f>
        <v>Mar 2019</v>
      </c>
      <c r="S893" s="14" t="n">
        <f aca="false">HOUR(TIMEVALUE(L893))</f>
        <v>13</v>
      </c>
      <c r="T893" s="0" t="str">
        <f aca="false">IF(S893&lt;12,"Morning",IF(S893&lt;17,"Afternoon","Evening"))</f>
        <v>Afternoon</v>
      </c>
      <c r="U893" s="16" t="n">
        <f aca="false">G893*H893*0.05</f>
        <v>1.36</v>
      </c>
    </row>
    <row r="894" customFormat="false" ht="15" hidden="false" customHeight="false" outlineLevel="0" collapsed="false">
      <c r="A894" s="0" t="s">
        <v>1434</v>
      </c>
      <c r="B894" s="0" t="s">
        <v>33</v>
      </c>
      <c r="C894" s="0" t="s">
        <v>65</v>
      </c>
      <c r="D894" s="0" t="s">
        <v>22</v>
      </c>
      <c r="E894" s="0" t="s">
        <v>57</v>
      </c>
      <c r="F894" s="0" t="s">
        <v>27</v>
      </c>
      <c r="G894" s="16" t="n">
        <v>73.97</v>
      </c>
      <c r="H894" s="0" t="n">
        <v>8</v>
      </c>
      <c r="I894" s="16" t="n">
        <f aca="false">G894*H894*0.05</f>
        <v>29.588</v>
      </c>
      <c r="J894" s="16" t="n">
        <f aca="false">G894*H894*1.05</f>
        <v>621.348</v>
      </c>
      <c r="K894" s="17" t="n">
        <v>43544</v>
      </c>
      <c r="L894" s="14" t="s">
        <v>1199</v>
      </c>
      <c r="M894" s="14" t="s">
        <v>26</v>
      </c>
      <c r="N894" s="16" t="n">
        <f aca="false">G894*H894</f>
        <v>591.76</v>
      </c>
      <c r="O894" s="18" t="n">
        <v>4.761904762</v>
      </c>
      <c r="P894" s="16" t="n">
        <f aca="false">I894</f>
        <v>29.588</v>
      </c>
      <c r="Q894" s="19" t="n">
        <v>7.1</v>
      </c>
      <c r="R894" s="0" t="str">
        <f aca="false">TEXT(K894,"mmm yyyy")</f>
        <v>Mar 2019</v>
      </c>
      <c r="S894" s="14" t="n">
        <f aca="false">HOUR(TIMEVALUE(L894))</f>
        <v>17</v>
      </c>
      <c r="T894" s="0" t="str">
        <f aca="false">IF(S894&lt;12,"Morning",IF(S894&lt;17,"Afternoon","Evening"))</f>
        <v>Evening</v>
      </c>
      <c r="U894" s="16" t="n">
        <f aca="false">G894*H894*0.05</f>
        <v>29.588</v>
      </c>
    </row>
    <row r="895" customFormat="false" ht="15" hidden="false" customHeight="false" outlineLevel="0" collapsed="false">
      <c r="A895" s="0" t="s">
        <v>1435</v>
      </c>
      <c r="B895" s="0" t="s">
        <v>25</v>
      </c>
      <c r="C895" s="0" t="s">
        <v>68</v>
      </c>
      <c r="D895" s="0" t="s">
        <v>21</v>
      </c>
      <c r="E895" s="0" t="s">
        <v>60</v>
      </c>
      <c r="F895" s="0" t="s">
        <v>27</v>
      </c>
      <c r="G895" s="16" t="n">
        <v>33.16</v>
      </c>
      <c r="H895" s="0" t="n">
        <v>7</v>
      </c>
      <c r="I895" s="16" t="n">
        <f aca="false">G895*H895*0.05</f>
        <v>11.606</v>
      </c>
      <c r="J895" s="16" t="n">
        <f aca="false">G895*H895*1.05</f>
        <v>243.726</v>
      </c>
      <c r="K895" s="17" t="n">
        <v>43544</v>
      </c>
      <c r="L895" s="14" t="s">
        <v>979</v>
      </c>
      <c r="M895" s="14" t="s">
        <v>26</v>
      </c>
      <c r="N895" s="16" t="n">
        <f aca="false">G895*H895</f>
        <v>232.12</v>
      </c>
      <c r="O895" s="18" t="n">
        <v>4.761904762</v>
      </c>
      <c r="P895" s="16" t="n">
        <f aca="false">I895</f>
        <v>11.606</v>
      </c>
      <c r="Q895" s="19" t="n">
        <v>9.3</v>
      </c>
      <c r="R895" s="0" t="str">
        <f aca="false">TEXT(K895,"mmm yyyy")</f>
        <v>Mar 2019</v>
      </c>
      <c r="S895" s="14" t="n">
        <f aca="false">HOUR(TIMEVALUE(L895))</f>
        <v>15</v>
      </c>
      <c r="T895" s="0" t="str">
        <f aca="false">IF(S895&lt;12,"Morning",IF(S895&lt;17,"Afternoon","Evening"))</f>
        <v>Afternoon</v>
      </c>
      <c r="U895" s="16" t="n">
        <f aca="false">G895*H895*0.05</f>
        <v>11.606</v>
      </c>
    </row>
    <row r="896" customFormat="false" ht="15" hidden="false" customHeight="false" outlineLevel="0" collapsed="false">
      <c r="A896" s="0" t="s">
        <v>1436</v>
      </c>
      <c r="B896" s="0" t="s">
        <v>33</v>
      </c>
      <c r="C896" s="0" t="s">
        <v>65</v>
      </c>
      <c r="D896" s="0" t="s">
        <v>21</v>
      </c>
      <c r="E896" s="0" t="s">
        <v>57</v>
      </c>
      <c r="F896" s="0" t="s">
        <v>27</v>
      </c>
      <c r="G896" s="16" t="n">
        <v>55.65</v>
      </c>
      <c r="H896" s="0" t="n">
        <v>3</v>
      </c>
      <c r="I896" s="16" t="n">
        <f aca="false">G896*H896*0.05</f>
        <v>8.3475</v>
      </c>
      <c r="J896" s="16" t="n">
        <f aca="false">G896*H896*1.05</f>
        <v>175.2975</v>
      </c>
      <c r="K896" s="17" t="n">
        <v>43544</v>
      </c>
      <c r="L896" s="14" t="s">
        <v>1437</v>
      </c>
      <c r="M896" s="14" t="s">
        <v>30</v>
      </c>
      <c r="N896" s="16" t="n">
        <f aca="false">G896*H896</f>
        <v>166.95</v>
      </c>
      <c r="O896" s="18" t="n">
        <v>4.761904762</v>
      </c>
      <c r="P896" s="16" t="n">
        <f aca="false">I896</f>
        <v>8.3475</v>
      </c>
      <c r="Q896" s="19" t="n">
        <v>5.4</v>
      </c>
      <c r="R896" s="0" t="str">
        <f aca="false">TEXT(K896,"mmm yyyy")</f>
        <v>Mar 2019</v>
      </c>
      <c r="S896" s="14" t="n">
        <f aca="false">HOUR(TIMEVALUE(L896))</f>
        <v>10</v>
      </c>
      <c r="T896" s="0" t="str">
        <f aca="false">IF(S896&lt;12,"Morning",IF(S896&lt;17,"Afternoon","Evening"))</f>
        <v>Morning</v>
      </c>
      <c r="U896" s="16" t="n">
        <f aca="false">G896*H896*0.05</f>
        <v>8.3475</v>
      </c>
    </row>
    <row r="897" customFormat="false" ht="15" hidden="false" customHeight="false" outlineLevel="0" collapsed="false">
      <c r="A897" s="0" t="s">
        <v>1438</v>
      </c>
      <c r="B897" s="0" t="s">
        <v>33</v>
      </c>
      <c r="C897" s="0" t="s">
        <v>65</v>
      </c>
      <c r="D897" s="0" t="s">
        <v>21</v>
      </c>
      <c r="E897" s="0" t="s">
        <v>60</v>
      </c>
      <c r="F897" s="0" t="s">
        <v>23</v>
      </c>
      <c r="G897" s="16" t="n">
        <v>40.72</v>
      </c>
      <c r="H897" s="0" t="n">
        <v>3</v>
      </c>
      <c r="I897" s="16" t="n">
        <f aca="false">G897*H897*0.05</f>
        <v>6.108</v>
      </c>
      <c r="J897" s="16" t="n">
        <f aca="false">G897*H897*1.05</f>
        <v>128.268</v>
      </c>
      <c r="K897" s="17" t="n">
        <v>43544</v>
      </c>
      <c r="L897" s="14" t="s">
        <v>230</v>
      </c>
      <c r="M897" s="14" t="s">
        <v>26</v>
      </c>
      <c r="N897" s="16" t="n">
        <f aca="false">G897*H897</f>
        <v>122.16</v>
      </c>
      <c r="O897" s="18" t="n">
        <v>4.761904762</v>
      </c>
      <c r="P897" s="16" t="n">
        <f aca="false">I897</f>
        <v>6.108</v>
      </c>
      <c r="Q897" s="19" t="n">
        <v>6.6</v>
      </c>
      <c r="R897" s="0" t="str">
        <f aca="false">TEXT(K897,"mmm yyyy")</f>
        <v>Mar 2019</v>
      </c>
      <c r="S897" s="14" t="n">
        <f aca="false">HOUR(TIMEVALUE(L897))</f>
        <v>20</v>
      </c>
      <c r="T897" s="0" t="str">
        <f aca="false">IF(S897&lt;12,"Morning",IF(S897&lt;17,"Afternoon","Evening"))</f>
        <v>Evening</v>
      </c>
      <c r="U897" s="16" t="n">
        <f aca="false">G897*H897*0.05</f>
        <v>6.108</v>
      </c>
    </row>
    <row r="898" customFormat="false" ht="15" hidden="false" customHeight="false" outlineLevel="0" collapsed="false">
      <c r="A898" s="0" t="s">
        <v>1439</v>
      </c>
      <c r="B898" s="0" t="s">
        <v>29</v>
      </c>
      <c r="C898" s="0" t="s">
        <v>56</v>
      </c>
      <c r="D898" s="0" t="s">
        <v>22</v>
      </c>
      <c r="E898" s="0" t="s">
        <v>60</v>
      </c>
      <c r="F898" s="0" t="s">
        <v>37</v>
      </c>
      <c r="G898" s="16" t="n">
        <v>65.5</v>
      </c>
      <c r="H898" s="0" t="n">
        <v>9</v>
      </c>
      <c r="I898" s="16" t="n">
        <f aca="false">G898*H898*0.05</f>
        <v>29.475</v>
      </c>
      <c r="J898" s="16" t="n">
        <f aca="false">G898*H898*1.05</f>
        <v>618.975</v>
      </c>
      <c r="K898" s="17" t="n">
        <v>43544</v>
      </c>
      <c r="L898" s="14" t="s">
        <v>502</v>
      </c>
      <c r="M898" s="14" t="s">
        <v>34</v>
      </c>
      <c r="N898" s="16" t="n">
        <f aca="false">G898*H898</f>
        <v>589.5</v>
      </c>
      <c r="O898" s="18" t="n">
        <v>4.761904762</v>
      </c>
      <c r="P898" s="16" t="n">
        <f aca="false">I898</f>
        <v>29.475</v>
      </c>
      <c r="Q898" s="19" t="n">
        <v>4.6</v>
      </c>
      <c r="R898" s="0" t="str">
        <f aca="false">TEXT(K898,"mmm yyyy")</f>
        <v>Mar 2019</v>
      </c>
      <c r="S898" s="14" t="n">
        <f aca="false">HOUR(TIMEVALUE(L898))</f>
        <v>15</v>
      </c>
      <c r="T898" s="0" t="str">
        <f aca="false">IF(S898&lt;12,"Morning",IF(S898&lt;17,"Afternoon","Evening"))</f>
        <v>Afternoon</v>
      </c>
      <c r="U898" s="16" t="n">
        <f aca="false">G898*H898*0.05</f>
        <v>29.475</v>
      </c>
    </row>
    <row r="899" customFormat="false" ht="15" hidden="false" customHeight="false" outlineLevel="0" collapsed="false">
      <c r="A899" s="0" t="s">
        <v>1440</v>
      </c>
      <c r="B899" s="0" t="s">
        <v>25</v>
      </c>
      <c r="C899" s="0" t="s">
        <v>68</v>
      </c>
      <c r="D899" s="0" t="s">
        <v>21</v>
      </c>
      <c r="E899" s="0" t="s">
        <v>60</v>
      </c>
      <c r="F899" s="0" t="s">
        <v>35</v>
      </c>
      <c r="G899" s="16" t="n">
        <v>12.3</v>
      </c>
      <c r="H899" s="0" t="n">
        <v>6</v>
      </c>
      <c r="I899" s="16" t="n">
        <f aca="false">G899*H899*0.05</f>
        <v>3.69</v>
      </c>
      <c r="J899" s="16" t="n">
        <f aca="false">G899*H899*1.05</f>
        <v>77.49</v>
      </c>
      <c r="K899" s="17" t="n">
        <v>43544</v>
      </c>
      <c r="L899" s="14" t="s">
        <v>405</v>
      </c>
      <c r="M899" s="14" t="s">
        <v>26</v>
      </c>
      <c r="N899" s="16" t="n">
        <f aca="false">G899*H899</f>
        <v>73.8</v>
      </c>
      <c r="O899" s="18" t="n">
        <v>4.761904762</v>
      </c>
      <c r="P899" s="16" t="n">
        <f aca="false">I899</f>
        <v>3.69</v>
      </c>
      <c r="Q899" s="19" t="n">
        <v>9.7</v>
      </c>
      <c r="R899" s="0" t="str">
        <f aca="false">TEXT(K899,"mmm yyyy")</f>
        <v>Mar 2019</v>
      </c>
      <c r="S899" s="14" t="n">
        <f aca="false">HOUR(TIMEVALUE(L899))</f>
        <v>18</v>
      </c>
      <c r="T899" s="0" t="str">
        <f aca="false">IF(S899&lt;12,"Morning",IF(S899&lt;17,"Afternoon","Evening"))</f>
        <v>Evening</v>
      </c>
      <c r="U899" s="16" t="n">
        <f aca="false">G899*H899*0.05</f>
        <v>3.69</v>
      </c>
    </row>
    <row r="900" customFormat="false" ht="15" hidden="false" customHeight="false" outlineLevel="0" collapsed="false">
      <c r="A900" s="0" t="s">
        <v>1441</v>
      </c>
      <c r="B900" s="0" t="s">
        <v>33</v>
      </c>
      <c r="C900" s="0" t="s">
        <v>65</v>
      </c>
      <c r="D900" s="0" t="s">
        <v>21</v>
      </c>
      <c r="E900" s="0" t="s">
        <v>57</v>
      </c>
      <c r="F900" s="0" t="s">
        <v>31</v>
      </c>
      <c r="G900" s="16" t="n">
        <v>72.6</v>
      </c>
      <c r="H900" s="0" t="n">
        <v>1</v>
      </c>
      <c r="I900" s="16" t="n">
        <f aca="false">G900*H900*0.05</f>
        <v>3.63</v>
      </c>
      <c r="J900" s="16" t="n">
        <f aca="false">G900*H900*1.05</f>
        <v>76.23</v>
      </c>
      <c r="K900" s="17" t="n">
        <v>43544</v>
      </c>
      <c r="L900" s="14" t="s">
        <v>1442</v>
      </c>
      <c r="M900" s="14" t="s">
        <v>30</v>
      </c>
      <c r="N900" s="16" t="n">
        <f aca="false">G900*H900</f>
        <v>72.6</v>
      </c>
      <c r="O900" s="18" t="n">
        <v>4.761904762</v>
      </c>
      <c r="P900" s="16" t="n">
        <f aca="false">I900</f>
        <v>3.63</v>
      </c>
      <c r="Q900" s="19" t="n">
        <v>4.8</v>
      </c>
      <c r="R900" s="0" t="str">
        <f aca="false">TEXT(K900,"mmm yyyy")</f>
        <v>Mar 2019</v>
      </c>
      <c r="S900" s="14" t="n">
        <f aca="false">HOUR(TIMEVALUE(L900))</f>
        <v>17</v>
      </c>
      <c r="T900" s="0" t="str">
        <f aca="false">IF(S900&lt;12,"Morning",IF(S900&lt;17,"Afternoon","Evening"))</f>
        <v>Evening</v>
      </c>
      <c r="U900" s="16" t="n">
        <f aca="false">G900*H900*0.05</f>
        <v>3.63</v>
      </c>
    </row>
    <row r="901" customFormat="false" ht="15" hidden="false" customHeight="false" outlineLevel="0" collapsed="false">
      <c r="A901" s="0" t="s">
        <v>1443</v>
      </c>
      <c r="B901" s="0" t="s">
        <v>25</v>
      </c>
      <c r="C901" s="0" t="s">
        <v>68</v>
      </c>
      <c r="D901" s="0" t="s">
        <v>21</v>
      </c>
      <c r="E901" s="0" t="s">
        <v>57</v>
      </c>
      <c r="F901" s="0" t="s">
        <v>31</v>
      </c>
      <c r="G901" s="16" t="n">
        <v>23.59</v>
      </c>
      <c r="H901" s="0" t="n">
        <v>10</v>
      </c>
      <c r="I901" s="16" t="n">
        <f aca="false">G901*H901*0.05</f>
        <v>11.795</v>
      </c>
      <c r="J901" s="16" t="n">
        <f aca="false">G901*H901*1.05</f>
        <v>247.695</v>
      </c>
      <c r="K901" s="17" t="n">
        <v>43544</v>
      </c>
      <c r="L901" s="14" t="s">
        <v>1153</v>
      </c>
      <c r="M901" s="14" t="s">
        <v>34</v>
      </c>
      <c r="N901" s="16" t="n">
        <f aca="false">G901*H901</f>
        <v>235.9</v>
      </c>
      <c r="O901" s="18" t="n">
        <v>4.761904762</v>
      </c>
      <c r="P901" s="16" t="n">
        <f aca="false">I901</f>
        <v>11.795</v>
      </c>
      <c r="Q901" s="19" t="n">
        <v>9.2</v>
      </c>
      <c r="R901" s="0" t="str">
        <f aca="false">TEXT(K901,"mmm yyyy")</f>
        <v>Mar 2019</v>
      </c>
      <c r="S901" s="14" t="n">
        <f aca="false">HOUR(TIMEVALUE(L901))</f>
        <v>13</v>
      </c>
      <c r="T901" s="0" t="str">
        <f aca="false">IF(S901&lt;12,"Morning",IF(S901&lt;17,"Afternoon","Evening"))</f>
        <v>Afternoon</v>
      </c>
      <c r="U901" s="16" t="n">
        <f aca="false">G901*H901*0.05</f>
        <v>11.795</v>
      </c>
    </row>
    <row r="902" customFormat="false" ht="15" hidden="false" customHeight="false" outlineLevel="0" collapsed="false">
      <c r="A902" s="0" t="s">
        <v>1444</v>
      </c>
      <c r="B902" s="0" t="s">
        <v>33</v>
      </c>
      <c r="C902" s="0" t="s">
        <v>65</v>
      </c>
      <c r="D902" s="0" t="s">
        <v>21</v>
      </c>
      <c r="E902" s="0" t="s">
        <v>60</v>
      </c>
      <c r="F902" s="0" t="s">
        <v>31</v>
      </c>
      <c r="G902" s="16" t="n">
        <v>63.07</v>
      </c>
      <c r="H902" s="0" t="n">
        <v>10</v>
      </c>
      <c r="I902" s="16" t="n">
        <f aca="false">G902*H902*0.05</f>
        <v>31.535</v>
      </c>
      <c r="J902" s="16" t="n">
        <f aca="false">G902*H902*1.05</f>
        <v>662.235</v>
      </c>
      <c r="K902" s="17" t="n">
        <v>43544</v>
      </c>
      <c r="L902" s="14" t="s">
        <v>1043</v>
      </c>
      <c r="M902" s="14" t="s">
        <v>26</v>
      </c>
      <c r="N902" s="16" t="n">
        <f aca="false">G902*H902</f>
        <v>630.7</v>
      </c>
      <c r="O902" s="18" t="n">
        <v>4.761904762</v>
      </c>
      <c r="P902" s="16" t="n">
        <f aca="false">I902</f>
        <v>31.535</v>
      </c>
      <c r="Q902" s="19" t="n">
        <v>6.5</v>
      </c>
      <c r="R902" s="0" t="str">
        <f aca="false">TEXT(K902,"mmm yyyy")</f>
        <v>Mar 2019</v>
      </c>
      <c r="S902" s="14" t="n">
        <f aca="false">HOUR(TIMEVALUE(L902))</f>
        <v>19</v>
      </c>
      <c r="T902" s="0" t="str">
        <f aca="false">IF(S902&lt;12,"Morning",IF(S902&lt;17,"Afternoon","Evening"))</f>
        <v>Evening</v>
      </c>
      <c r="U902" s="16" t="n">
        <f aca="false">G902*H902*0.05</f>
        <v>31.535</v>
      </c>
    </row>
    <row r="903" customFormat="false" ht="15" hidden="false" customHeight="false" outlineLevel="0" collapsed="false">
      <c r="A903" s="0" t="s">
        <v>1445</v>
      </c>
      <c r="B903" s="0" t="s">
        <v>33</v>
      </c>
      <c r="C903" s="0" t="s">
        <v>65</v>
      </c>
      <c r="D903" s="0" t="s">
        <v>21</v>
      </c>
      <c r="E903" s="0" t="s">
        <v>60</v>
      </c>
      <c r="F903" s="0" t="s">
        <v>23</v>
      </c>
      <c r="G903" s="16" t="n">
        <v>15.57</v>
      </c>
      <c r="H903" s="0" t="n">
        <v>3</v>
      </c>
      <c r="I903" s="16" t="n">
        <f aca="false">G903*H903*0.05</f>
        <v>2.3355</v>
      </c>
      <c r="J903" s="16" t="n">
        <f aca="false">G903*H903*1.05</f>
        <v>49.0455</v>
      </c>
      <c r="K903" s="17" t="n">
        <v>43544</v>
      </c>
      <c r="L903" s="14" t="s">
        <v>69</v>
      </c>
      <c r="M903" s="14" t="s">
        <v>30</v>
      </c>
      <c r="N903" s="16" t="n">
        <f aca="false">G903*H903</f>
        <v>46.71</v>
      </c>
      <c r="O903" s="18" t="n">
        <v>4.761904762</v>
      </c>
      <c r="P903" s="16" t="n">
        <f aca="false">I903</f>
        <v>2.3355</v>
      </c>
      <c r="Q903" s="19" t="n">
        <v>7.2</v>
      </c>
      <c r="R903" s="0" t="str">
        <f aca="false">TEXT(K903,"mmm yyyy")</f>
        <v>Mar 2019</v>
      </c>
      <c r="S903" s="14" t="n">
        <f aca="false">HOUR(TIMEVALUE(L903))</f>
        <v>19</v>
      </c>
      <c r="T903" s="0" t="str">
        <f aca="false">IF(S903&lt;12,"Morning",IF(S903&lt;17,"Afternoon","Evening"))</f>
        <v>Evening</v>
      </c>
      <c r="U903" s="16" t="n">
        <f aca="false">G903*H903*0.05</f>
        <v>2.3355</v>
      </c>
    </row>
    <row r="904" customFormat="false" ht="15" hidden="false" customHeight="false" outlineLevel="0" collapsed="false">
      <c r="A904" s="0" t="s">
        <v>1446</v>
      </c>
      <c r="B904" s="0" t="s">
        <v>29</v>
      </c>
      <c r="C904" s="0" t="s">
        <v>56</v>
      </c>
      <c r="D904" s="0" t="s">
        <v>22</v>
      </c>
      <c r="E904" s="0" t="s">
        <v>57</v>
      </c>
      <c r="F904" s="0" t="s">
        <v>27</v>
      </c>
      <c r="G904" s="16" t="n">
        <v>56.43</v>
      </c>
      <c r="H904" s="0" t="n">
        <v>8</v>
      </c>
      <c r="I904" s="16" t="n">
        <f aca="false">G904*H904*0.05</f>
        <v>22.572</v>
      </c>
      <c r="J904" s="16" t="n">
        <f aca="false">G904*H904*1.05</f>
        <v>474.012</v>
      </c>
      <c r="K904" s="17" t="n">
        <v>43544</v>
      </c>
      <c r="L904" s="14" t="s">
        <v>1103</v>
      </c>
      <c r="M904" s="14" t="s">
        <v>34</v>
      </c>
      <c r="N904" s="16" t="n">
        <f aca="false">G904*H904</f>
        <v>451.44</v>
      </c>
      <c r="O904" s="18" t="n">
        <v>4.761904762</v>
      </c>
      <c r="P904" s="16" t="n">
        <f aca="false">I904</f>
        <v>22.572</v>
      </c>
      <c r="Q904" s="19" t="n">
        <v>8.5</v>
      </c>
      <c r="R904" s="0" t="str">
        <f aca="false">TEXT(K904,"mmm yyyy")</f>
        <v>Mar 2019</v>
      </c>
      <c r="S904" s="14" t="n">
        <f aca="false">HOUR(TIMEVALUE(L904))</f>
        <v>16</v>
      </c>
      <c r="T904" s="0" t="str">
        <f aca="false">IF(S904&lt;12,"Morning",IF(S904&lt;17,"Afternoon","Evening"))</f>
        <v>Afternoon</v>
      </c>
      <c r="U904" s="16" t="n">
        <f aca="false">G904*H904*0.05</f>
        <v>22.572</v>
      </c>
    </row>
    <row r="905" customFormat="false" ht="15" hidden="false" customHeight="false" outlineLevel="0" collapsed="false">
      <c r="A905" s="0" t="s">
        <v>1447</v>
      </c>
      <c r="B905" s="0" t="s">
        <v>33</v>
      </c>
      <c r="C905" s="0" t="s">
        <v>65</v>
      </c>
      <c r="D905" s="0" t="s">
        <v>21</v>
      </c>
      <c r="E905" s="0" t="s">
        <v>57</v>
      </c>
      <c r="F905" s="0" t="s">
        <v>36</v>
      </c>
      <c r="G905" s="16" t="n">
        <v>87.45</v>
      </c>
      <c r="H905" s="0" t="n">
        <v>3</v>
      </c>
      <c r="I905" s="16" t="n">
        <f aca="false">G905*H905*0.05</f>
        <v>13.1175</v>
      </c>
      <c r="J905" s="16" t="n">
        <f aca="false">G905*H905*1.05</f>
        <v>275.4675</v>
      </c>
      <c r="K905" s="17" t="n">
        <v>43545</v>
      </c>
      <c r="L905" s="14" t="s">
        <v>297</v>
      </c>
      <c r="M905" s="14" t="s">
        <v>26</v>
      </c>
      <c r="N905" s="16" t="n">
        <f aca="false">G905*H905</f>
        <v>262.35</v>
      </c>
      <c r="O905" s="18" t="n">
        <v>4.761904762</v>
      </c>
      <c r="P905" s="16" t="n">
        <f aca="false">I905</f>
        <v>13.1175</v>
      </c>
      <c r="Q905" s="19" t="n">
        <v>5.5</v>
      </c>
      <c r="R905" s="0" t="str">
        <f aca="false">TEXT(K905,"mmm yyyy")</f>
        <v>Mar 2019</v>
      </c>
      <c r="S905" s="14" t="n">
        <f aca="false">HOUR(TIMEVALUE(L905))</f>
        <v>13</v>
      </c>
      <c r="T905" s="0" t="str">
        <f aca="false">IF(S905&lt;12,"Morning",IF(S905&lt;17,"Afternoon","Evening"))</f>
        <v>Afternoon</v>
      </c>
      <c r="U905" s="16" t="n">
        <f aca="false">G905*H905*0.05</f>
        <v>13.1175</v>
      </c>
    </row>
    <row r="906" customFormat="false" ht="15" hidden="false" customHeight="false" outlineLevel="0" collapsed="false">
      <c r="A906" s="0" t="s">
        <v>1448</v>
      </c>
      <c r="B906" s="0" t="s">
        <v>25</v>
      </c>
      <c r="C906" s="0" t="s">
        <v>68</v>
      </c>
      <c r="D906" s="0" t="s">
        <v>22</v>
      </c>
      <c r="E906" s="0" t="s">
        <v>60</v>
      </c>
      <c r="F906" s="0" t="s">
        <v>31</v>
      </c>
      <c r="G906" s="16" t="n">
        <v>54.73</v>
      </c>
      <c r="H906" s="0" t="n">
        <v>2</v>
      </c>
      <c r="I906" s="16" t="n">
        <f aca="false">G906*H906*0.05</f>
        <v>5.473</v>
      </c>
      <c r="J906" s="16" t="n">
        <f aca="false">G906*H906*1.05</f>
        <v>114.933</v>
      </c>
      <c r="K906" s="17" t="n">
        <v>43545</v>
      </c>
      <c r="L906" s="14" t="s">
        <v>75</v>
      </c>
      <c r="M906" s="14" t="s">
        <v>26</v>
      </c>
      <c r="N906" s="16" t="n">
        <f aca="false">G906*H906</f>
        <v>109.46</v>
      </c>
      <c r="O906" s="18" t="n">
        <v>4.761904762</v>
      </c>
      <c r="P906" s="16" t="n">
        <f aca="false">I906</f>
        <v>5.473</v>
      </c>
      <c r="Q906" s="19" t="n">
        <v>5.1</v>
      </c>
      <c r="R906" s="0" t="str">
        <f aca="false">TEXT(K906,"mmm yyyy")</f>
        <v>Mar 2019</v>
      </c>
      <c r="S906" s="14" t="n">
        <f aca="false">HOUR(TIMEVALUE(L906))</f>
        <v>16</v>
      </c>
      <c r="T906" s="0" t="str">
        <f aca="false">IF(S906&lt;12,"Morning",IF(S906&lt;17,"Afternoon","Evening"))</f>
        <v>Afternoon</v>
      </c>
      <c r="U906" s="16" t="n">
        <f aca="false">G906*H906*0.05</f>
        <v>5.473</v>
      </c>
    </row>
    <row r="907" customFormat="false" ht="15" hidden="false" customHeight="false" outlineLevel="0" collapsed="false">
      <c r="A907" s="0" t="s">
        <v>1449</v>
      </c>
      <c r="B907" s="0" t="s">
        <v>25</v>
      </c>
      <c r="C907" s="0" t="s">
        <v>68</v>
      </c>
      <c r="D907" s="0" t="s">
        <v>21</v>
      </c>
      <c r="E907" s="0" t="s">
        <v>60</v>
      </c>
      <c r="F907" s="0" t="s">
        <v>23</v>
      </c>
      <c r="G907" s="16" t="n">
        <v>60.88</v>
      </c>
      <c r="H907" s="0" t="n">
        <v>9</v>
      </c>
      <c r="I907" s="16" t="n">
        <f aca="false">G907*H907*0.05</f>
        <v>27.396</v>
      </c>
      <c r="J907" s="16" t="n">
        <f aca="false">G907*H907*1.05</f>
        <v>575.316</v>
      </c>
      <c r="K907" s="17" t="n">
        <v>43545</v>
      </c>
      <c r="L907" s="14" t="s">
        <v>1450</v>
      </c>
      <c r="M907" s="14" t="s">
        <v>26</v>
      </c>
      <c r="N907" s="16" t="n">
        <f aca="false">G907*H907</f>
        <v>547.92</v>
      </c>
      <c r="O907" s="18" t="n">
        <v>4.761904762</v>
      </c>
      <c r="P907" s="16" t="n">
        <f aca="false">I907</f>
        <v>27.396</v>
      </c>
      <c r="Q907" s="19" t="n">
        <v>6.5</v>
      </c>
      <c r="R907" s="0" t="str">
        <f aca="false">TEXT(K907,"mmm yyyy")</f>
        <v>Mar 2019</v>
      </c>
      <c r="S907" s="14" t="n">
        <f aca="false">HOUR(TIMEVALUE(L907))</f>
        <v>14</v>
      </c>
      <c r="T907" s="0" t="str">
        <f aca="false">IF(S907&lt;12,"Morning",IF(S907&lt;17,"Afternoon","Evening"))</f>
        <v>Afternoon</v>
      </c>
      <c r="U907" s="16" t="n">
        <f aca="false">G907*H907*0.05</f>
        <v>27.396</v>
      </c>
    </row>
    <row r="908" customFormat="false" ht="15" hidden="false" customHeight="false" outlineLevel="0" collapsed="false">
      <c r="A908" s="0" t="s">
        <v>1451</v>
      </c>
      <c r="B908" s="0" t="s">
        <v>25</v>
      </c>
      <c r="C908" s="0" t="s">
        <v>68</v>
      </c>
      <c r="D908" s="0" t="s">
        <v>21</v>
      </c>
      <c r="E908" s="0" t="s">
        <v>60</v>
      </c>
      <c r="F908" s="0" t="s">
        <v>36</v>
      </c>
      <c r="G908" s="16" t="n">
        <v>74.68</v>
      </c>
      <c r="H908" s="0" t="n">
        <v>8</v>
      </c>
      <c r="I908" s="16" t="n">
        <f aca="false">G908*H908*0.05</f>
        <v>29.872</v>
      </c>
      <c r="J908" s="16" t="n">
        <f aca="false">G908*H908*1.05</f>
        <v>627.312</v>
      </c>
      <c r="K908" s="17" t="n">
        <v>43545</v>
      </c>
      <c r="L908" s="14" t="s">
        <v>401</v>
      </c>
      <c r="M908" s="14" t="s">
        <v>30</v>
      </c>
      <c r="N908" s="16" t="n">
        <f aca="false">G908*H908</f>
        <v>597.44</v>
      </c>
      <c r="O908" s="18" t="n">
        <v>4.761904762</v>
      </c>
      <c r="P908" s="16" t="n">
        <f aca="false">I908</f>
        <v>29.872</v>
      </c>
      <c r="Q908" s="19" t="n">
        <v>9.3</v>
      </c>
      <c r="R908" s="0" t="str">
        <f aca="false">TEXT(K908,"mmm yyyy")</f>
        <v>Mar 2019</v>
      </c>
      <c r="S908" s="14" t="n">
        <f aca="false">HOUR(TIMEVALUE(L908))</f>
        <v>16</v>
      </c>
      <c r="T908" s="0" t="str">
        <f aca="false">IF(S908&lt;12,"Morning",IF(S908&lt;17,"Afternoon","Evening"))</f>
        <v>Afternoon</v>
      </c>
      <c r="U908" s="16" t="n">
        <f aca="false">G908*H908*0.05</f>
        <v>29.872</v>
      </c>
    </row>
    <row r="909" customFormat="false" ht="15" hidden="false" customHeight="false" outlineLevel="0" collapsed="false">
      <c r="A909" s="0" t="s">
        <v>1452</v>
      </c>
      <c r="B909" s="0" t="s">
        <v>29</v>
      </c>
      <c r="C909" s="0" t="s">
        <v>56</v>
      </c>
      <c r="D909" s="0" t="s">
        <v>21</v>
      </c>
      <c r="E909" s="0" t="s">
        <v>60</v>
      </c>
      <c r="F909" s="0" t="s">
        <v>31</v>
      </c>
      <c r="G909" s="16" t="n">
        <v>66.08</v>
      </c>
      <c r="H909" s="0" t="n">
        <v>1</v>
      </c>
      <c r="I909" s="16" t="n">
        <f aca="false">G909*H909*0.05</f>
        <v>3.304</v>
      </c>
      <c r="J909" s="16" t="n">
        <f aca="false">G909*H909*1.05</f>
        <v>69.384</v>
      </c>
      <c r="K909" s="17" t="n">
        <v>43545</v>
      </c>
      <c r="L909" s="14" t="s">
        <v>1453</v>
      </c>
      <c r="M909" s="14" t="s">
        <v>34</v>
      </c>
      <c r="N909" s="16" t="n">
        <f aca="false">G909*H909</f>
        <v>66.08</v>
      </c>
      <c r="O909" s="18" t="n">
        <v>4.761904762</v>
      </c>
      <c r="P909" s="16" t="n">
        <f aca="false">I909</f>
        <v>3.304</v>
      </c>
      <c r="Q909" s="19" t="n">
        <v>7.3</v>
      </c>
      <c r="R909" s="0" t="str">
        <f aca="false">TEXT(K909,"mmm yyyy")</f>
        <v>Mar 2019</v>
      </c>
      <c r="S909" s="14" t="n">
        <f aca="false">HOUR(TIMEVALUE(L909))</f>
        <v>14</v>
      </c>
      <c r="T909" s="0" t="str">
        <f aca="false">IF(S909&lt;12,"Morning",IF(S909&lt;17,"Afternoon","Evening"))</f>
        <v>Afternoon</v>
      </c>
      <c r="U909" s="16" t="n">
        <f aca="false">G909*H909*0.05</f>
        <v>3.304</v>
      </c>
    </row>
    <row r="910" customFormat="false" ht="15" hidden="false" customHeight="false" outlineLevel="0" collapsed="false">
      <c r="A910" s="0" t="s">
        <v>1454</v>
      </c>
      <c r="B910" s="0" t="s">
        <v>29</v>
      </c>
      <c r="C910" s="0" t="s">
        <v>56</v>
      </c>
      <c r="D910" s="0" t="s">
        <v>21</v>
      </c>
      <c r="E910" s="0" t="s">
        <v>60</v>
      </c>
      <c r="F910" s="0" t="s">
        <v>27</v>
      </c>
      <c r="G910" s="16" t="n">
        <v>26.8</v>
      </c>
      <c r="H910" s="0" t="n">
        <v>9</v>
      </c>
      <c r="I910" s="16" t="n">
        <f aca="false">G910*H910*0.05</f>
        <v>12.06</v>
      </c>
      <c r="J910" s="16" t="n">
        <f aca="false">G910*H910*1.05</f>
        <v>253.26</v>
      </c>
      <c r="K910" s="17" t="n">
        <v>43546</v>
      </c>
      <c r="L910" s="14" t="s">
        <v>1164</v>
      </c>
      <c r="M910" s="14" t="s">
        <v>30</v>
      </c>
      <c r="N910" s="16" t="n">
        <f aca="false">G910*H910</f>
        <v>241.2</v>
      </c>
      <c r="O910" s="18" t="n">
        <v>4.761904762</v>
      </c>
      <c r="P910" s="16" t="n">
        <f aca="false">I910</f>
        <v>12.06</v>
      </c>
      <c r="Q910" s="19" t="n">
        <v>9.8</v>
      </c>
      <c r="R910" s="0" t="str">
        <f aca="false">TEXT(K910,"mmm yyyy")</f>
        <v>Mar 2019</v>
      </c>
      <c r="S910" s="14" t="n">
        <f aca="false">HOUR(TIMEVALUE(L910))</f>
        <v>14</v>
      </c>
      <c r="T910" s="0" t="str">
        <f aca="false">IF(S910&lt;12,"Morning",IF(S910&lt;17,"Afternoon","Evening"))</f>
        <v>Afternoon</v>
      </c>
      <c r="U910" s="16" t="n">
        <f aca="false">G910*H910*0.05</f>
        <v>12.06</v>
      </c>
    </row>
    <row r="911" customFormat="false" ht="15" hidden="false" customHeight="false" outlineLevel="0" collapsed="false">
      <c r="A911" s="0" t="s">
        <v>1455</v>
      </c>
      <c r="B911" s="0" t="s">
        <v>33</v>
      </c>
      <c r="C911" s="0" t="s">
        <v>65</v>
      </c>
      <c r="D911" s="0" t="s">
        <v>21</v>
      </c>
      <c r="E911" s="0" t="s">
        <v>57</v>
      </c>
      <c r="F911" s="0" t="s">
        <v>23</v>
      </c>
      <c r="G911" s="16" t="n">
        <v>62.93</v>
      </c>
      <c r="H911" s="0" t="n">
        <v>8</v>
      </c>
      <c r="I911" s="16" t="n">
        <f aca="false">G911*H911*0.05</f>
        <v>25.172</v>
      </c>
      <c r="J911" s="16" t="n">
        <f aca="false">G911*H911*1.05</f>
        <v>528.612</v>
      </c>
      <c r="K911" s="17" t="n">
        <v>43546</v>
      </c>
      <c r="L911" s="14" t="s">
        <v>136</v>
      </c>
      <c r="M911" s="14" t="s">
        <v>26</v>
      </c>
      <c r="N911" s="16" t="n">
        <f aca="false">G911*H911</f>
        <v>503.44</v>
      </c>
      <c r="O911" s="18" t="n">
        <v>4.761904762</v>
      </c>
      <c r="P911" s="16" t="n">
        <f aca="false">I911</f>
        <v>25.172</v>
      </c>
      <c r="Q911" s="19" t="n">
        <v>6.4</v>
      </c>
      <c r="R911" s="0" t="str">
        <f aca="false">TEXT(K911,"mmm yyyy")</f>
        <v>Mar 2019</v>
      </c>
      <c r="S911" s="14" t="n">
        <f aca="false">HOUR(TIMEVALUE(L911))</f>
        <v>13</v>
      </c>
      <c r="T911" s="0" t="str">
        <f aca="false">IF(S911&lt;12,"Morning",IF(S911&lt;17,"Afternoon","Evening"))</f>
        <v>Afternoon</v>
      </c>
      <c r="U911" s="16" t="n">
        <f aca="false">G911*H911*0.05</f>
        <v>25.172</v>
      </c>
    </row>
    <row r="912" customFormat="false" ht="15" hidden="false" customHeight="false" outlineLevel="0" collapsed="false">
      <c r="A912" s="0" t="s">
        <v>1456</v>
      </c>
      <c r="B912" s="0" t="s">
        <v>29</v>
      </c>
      <c r="C912" s="0" t="s">
        <v>56</v>
      </c>
      <c r="D912" s="0" t="s">
        <v>21</v>
      </c>
      <c r="E912" s="0" t="s">
        <v>60</v>
      </c>
      <c r="F912" s="0" t="s">
        <v>23</v>
      </c>
      <c r="G912" s="16" t="n">
        <v>38.09</v>
      </c>
      <c r="H912" s="0" t="n">
        <v>7</v>
      </c>
      <c r="I912" s="16" t="n">
        <f aca="false">G912*H912*0.05</f>
        <v>13.3315</v>
      </c>
      <c r="J912" s="16" t="n">
        <f aca="false">G912*H912*1.05</f>
        <v>279.9615</v>
      </c>
      <c r="K912" s="17" t="n">
        <v>43546</v>
      </c>
      <c r="L912" s="14" t="s">
        <v>561</v>
      </c>
      <c r="M912" s="14" t="s">
        <v>34</v>
      </c>
      <c r="N912" s="16" t="n">
        <f aca="false">G912*H912</f>
        <v>266.63</v>
      </c>
      <c r="O912" s="18" t="n">
        <v>4.761904762</v>
      </c>
      <c r="P912" s="16" t="n">
        <f aca="false">I912</f>
        <v>13.3315</v>
      </c>
      <c r="Q912" s="19" t="n">
        <v>6.5</v>
      </c>
      <c r="R912" s="0" t="str">
        <f aca="false">TEXT(K912,"mmm yyyy")</f>
        <v>Mar 2019</v>
      </c>
      <c r="S912" s="14" t="n">
        <f aca="false">HOUR(TIMEVALUE(L912))</f>
        <v>18</v>
      </c>
      <c r="T912" s="0" t="str">
        <f aca="false">IF(S912&lt;12,"Morning",IF(S912&lt;17,"Afternoon","Evening"))</f>
        <v>Evening</v>
      </c>
      <c r="U912" s="16" t="n">
        <f aca="false">G912*H912*0.05</f>
        <v>13.3315</v>
      </c>
    </row>
    <row r="913" customFormat="false" ht="15" hidden="false" customHeight="false" outlineLevel="0" collapsed="false">
      <c r="A913" s="0" t="s">
        <v>1457</v>
      </c>
      <c r="B913" s="0" t="s">
        <v>33</v>
      </c>
      <c r="C913" s="0" t="s">
        <v>65</v>
      </c>
      <c r="D913" s="0" t="s">
        <v>21</v>
      </c>
      <c r="E913" s="0" t="s">
        <v>60</v>
      </c>
      <c r="F913" s="0" t="s">
        <v>37</v>
      </c>
      <c r="G913" s="16" t="n">
        <v>79.92</v>
      </c>
      <c r="H913" s="0" t="n">
        <v>9</v>
      </c>
      <c r="I913" s="16" t="n">
        <f aca="false">G913*H913*0.05</f>
        <v>35.964</v>
      </c>
      <c r="J913" s="16" t="n">
        <f aca="false">G913*H913*1.05</f>
        <v>755.244</v>
      </c>
      <c r="K913" s="17" t="n">
        <v>43546</v>
      </c>
      <c r="L913" s="14" t="s">
        <v>1458</v>
      </c>
      <c r="M913" s="14" t="s">
        <v>34</v>
      </c>
      <c r="N913" s="16" t="n">
        <f aca="false">G913*H913</f>
        <v>719.28</v>
      </c>
      <c r="O913" s="18" t="n">
        <v>4.761904762</v>
      </c>
      <c r="P913" s="16" t="n">
        <f aca="false">I913</f>
        <v>35.964</v>
      </c>
      <c r="Q913" s="19" t="n">
        <v>8.8</v>
      </c>
      <c r="R913" s="0" t="str">
        <f aca="false">TEXT(K913,"mmm yyyy")</f>
        <v>Mar 2019</v>
      </c>
      <c r="S913" s="14" t="n">
        <f aca="false">HOUR(TIMEVALUE(L913))</f>
        <v>15</v>
      </c>
      <c r="T913" s="0" t="str">
        <f aca="false">IF(S913&lt;12,"Morning",IF(S913&lt;17,"Afternoon","Evening"))</f>
        <v>Afternoon</v>
      </c>
      <c r="U913" s="16" t="n">
        <f aca="false">G913*H913*0.05</f>
        <v>35.964</v>
      </c>
    </row>
    <row r="914" customFormat="false" ht="15" hidden="false" customHeight="false" outlineLevel="0" collapsed="false">
      <c r="A914" s="0" t="s">
        <v>1459</v>
      </c>
      <c r="B914" s="0" t="s">
        <v>29</v>
      </c>
      <c r="C914" s="0" t="s">
        <v>56</v>
      </c>
      <c r="D914" s="0" t="s">
        <v>21</v>
      </c>
      <c r="E914" s="0" t="s">
        <v>60</v>
      </c>
      <c r="F914" s="0" t="s">
        <v>27</v>
      </c>
      <c r="G914" s="16" t="n">
        <v>46.59</v>
      </c>
      <c r="H914" s="0" t="n">
        <v>3</v>
      </c>
      <c r="I914" s="16" t="n">
        <f aca="false">G914*H914*0.05</f>
        <v>6.9885</v>
      </c>
      <c r="J914" s="16" t="n">
        <f aca="false">G914*H914*1.05</f>
        <v>146.7585</v>
      </c>
      <c r="K914" s="17" t="n">
        <v>43546</v>
      </c>
      <c r="L914" s="14" t="s">
        <v>439</v>
      </c>
      <c r="M914" s="14" t="s">
        <v>26</v>
      </c>
      <c r="N914" s="16" t="n">
        <f aca="false">G914*H914</f>
        <v>139.77</v>
      </c>
      <c r="O914" s="18" t="n">
        <v>4.761904762</v>
      </c>
      <c r="P914" s="16" t="n">
        <f aca="false">I914</f>
        <v>6.9885</v>
      </c>
      <c r="Q914" s="19" t="n">
        <v>4.1</v>
      </c>
      <c r="R914" s="0" t="str">
        <f aca="false">TEXT(K914,"mmm yyyy")</f>
        <v>Mar 2019</v>
      </c>
      <c r="S914" s="14" t="n">
        <f aca="false">HOUR(TIMEVALUE(L914))</f>
        <v>15</v>
      </c>
      <c r="T914" s="0" t="str">
        <f aca="false">IF(S914&lt;12,"Morning",IF(S914&lt;17,"Afternoon","Evening"))</f>
        <v>Afternoon</v>
      </c>
      <c r="U914" s="16" t="n">
        <f aca="false">G914*H914*0.05</f>
        <v>6.9885</v>
      </c>
    </row>
    <row r="915" customFormat="false" ht="15" hidden="false" customHeight="false" outlineLevel="0" collapsed="false">
      <c r="A915" s="0" t="s">
        <v>1460</v>
      </c>
      <c r="B915" s="0" t="s">
        <v>29</v>
      </c>
      <c r="C915" s="0" t="s">
        <v>56</v>
      </c>
      <c r="D915" s="0" t="s">
        <v>21</v>
      </c>
      <c r="E915" s="0" t="s">
        <v>57</v>
      </c>
      <c r="F915" s="0" t="s">
        <v>36</v>
      </c>
      <c r="G915" s="16" t="n">
        <v>26.5</v>
      </c>
      <c r="H915" s="0" t="n">
        <v>2</v>
      </c>
      <c r="I915" s="16" t="n">
        <f aca="false">G915*H915*0.05</f>
        <v>2.65</v>
      </c>
      <c r="J915" s="16" t="n">
        <f aca="false">G915*H915*1.05</f>
        <v>55.65</v>
      </c>
      <c r="K915" s="17" t="n">
        <v>43546</v>
      </c>
      <c r="L915" s="14" t="s">
        <v>1326</v>
      </c>
      <c r="M915" s="14" t="s">
        <v>26</v>
      </c>
      <c r="N915" s="16" t="n">
        <f aca="false">G915*H915</f>
        <v>53</v>
      </c>
      <c r="O915" s="18" t="n">
        <v>4.761904762</v>
      </c>
      <c r="P915" s="16" t="n">
        <f aca="false">I915</f>
        <v>2.65</v>
      </c>
      <c r="Q915" s="19" t="n">
        <v>9.2</v>
      </c>
      <c r="R915" s="0" t="str">
        <f aca="false">TEXT(K915,"mmm yyyy")</f>
        <v>Mar 2019</v>
      </c>
      <c r="S915" s="14" t="n">
        <f aca="false">HOUR(TIMEVALUE(L915))</f>
        <v>17</v>
      </c>
      <c r="T915" s="0" t="str">
        <f aca="false">IF(S915&lt;12,"Morning",IF(S915&lt;17,"Afternoon","Evening"))</f>
        <v>Evening</v>
      </c>
      <c r="U915" s="16" t="n">
        <f aca="false">G915*H915*0.05</f>
        <v>2.65</v>
      </c>
    </row>
    <row r="916" customFormat="false" ht="15" hidden="false" customHeight="false" outlineLevel="0" collapsed="false">
      <c r="A916" s="0" t="s">
        <v>1461</v>
      </c>
      <c r="B916" s="0" t="s">
        <v>25</v>
      </c>
      <c r="C916" s="0" t="s">
        <v>68</v>
      </c>
      <c r="D916" s="0" t="s">
        <v>22</v>
      </c>
      <c r="E916" s="0" t="s">
        <v>60</v>
      </c>
      <c r="F916" s="0" t="s">
        <v>27</v>
      </c>
      <c r="G916" s="16" t="n">
        <v>50.76</v>
      </c>
      <c r="H916" s="0" t="n">
        <v>5</v>
      </c>
      <c r="I916" s="16" t="n">
        <f aca="false">G916*H916*0.05</f>
        <v>12.69</v>
      </c>
      <c r="J916" s="16" t="n">
        <f aca="false">G916*H916*1.05</f>
        <v>266.49</v>
      </c>
      <c r="K916" s="17" t="n">
        <v>43547</v>
      </c>
      <c r="L916" s="14" t="s">
        <v>757</v>
      </c>
      <c r="M916" s="14" t="s">
        <v>30</v>
      </c>
      <c r="N916" s="16" t="n">
        <f aca="false">G916*H916</f>
        <v>253.8</v>
      </c>
      <c r="O916" s="18" t="n">
        <v>4.761904762</v>
      </c>
      <c r="P916" s="16" t="n">
        <f aca="false">I916</f>
        <v>12.69</v>
      </c>
      <c r="Q916" s="19" t="n">
        <v>6.5</v>
      </c>
      <c r="R916" s="0" t="str">
        <f aca="false">TEXT(K916,"mmm yyyy")</f>
        <v>Mar 2019</v>
      </c>
      <c r="S916" s="14" t="n">
        <f aca="false">HOUR(TIMEVALUE(L916))</f>
        <v>11</v>
      </c>
      <c r="T916" s="0" t="str">
        <f aca="false">IF(S916&lt;12,"Morning",IF(S916&lt;17,"Afternoon","Evening"))</f>
        <v>Morning</v>
      </c>
      <c r="U916" s="16" t="n">
        <f aca="false">G916*H916*0.05</f>
        <v>12.69</v>
      </c>
    </row>
    <row r="917" customFormat="false" ht="15" hidden="false" customHeight="false" outlineLevel="0" collapsed="false">
      <c r="A917" s="0" t="s">
        <v>1462</v>
      </c>
      <c r="B917" s="0" t="s">
        <v>29</v>
      </c>
      <c r="C917" s="0" t="s">
        <v>56</v>
      </c>
      <c r="D917" s="0" t="s">
        <v>22</v>
      </c>
      <c r="E917" s="0" t="s">
        <v>57</v>
      </c>
      <c r="F917" s="0" t="s">
        <v>31</v>
      </c>
      <c r="G917" s="16" t="n">
        <v>91.81</v>
      </c>
      <c r="H917" s="0" t="n">
        <v>10</v>
      </c>
      <c r="I917" s="16" t="n">
        <f aca="false">G917*H917*0.05</f>
        <v>45.905</v>
      </c>
      <c r="J917" s="16" t="n">
        <f aca="false">G917*H917*1.05</f>
        <v>964.005</v>
      </c>
      <c r="K917" s="17" t="n">
        <v>43547</v>
      </c>
      <c r="L917" s="14" t="s">
        <v>1463</v>
      </c>
      <c r="M917" s="14" t="s">
        <v>26</v>
      </c>
      <c r="N917" s="16" t="n">
        <f aca="false">G917*H917</f>
        <v>918.1</v>
      </c>
      <c r="O917" s="18" t="n">
        <v>4.761904762</v>
      </c>
      <c r="P917" s="16" t="n">
        <f aca="false">I917</f>
        <v>45.905</v>
      </c>
      <c r="Q917" s="19" t="n">
        <v>5.2</v>
      </c>
      <c r="R917" s="0" t="str">
        <f aca="false">TEXT(K917,"mmm yyyy")</f>
        <v>Mar 2019</v>
      </c>
      <c r="S917" s="14" t="n">
        <f aca="false">HOUR(TIMEVALUE(L917))</f>
        <v>13</v>
      </c>
      <c r="T917" s="0" t="str">
        <f aca="false">IF(S917&lt;12,"Morning",IF(S917&lt;17,"Afternoon","Evening"))</f>
        <v>Afternoon</v>
      </c>
      <c r="U917" s="16" t="n">
        <f aca="false">G917*H917*0.05</f>
        <v>45.905</v>
      </c>
    </row>
    <row r="918" customFormat="false" ht="15" hidden="false" customHeight="false" outlineLevel="0" collapsed="false">
      <c r="A918" s="0" t="s">
        <v>1464</v>
      </c>
      <c r="B918" s="0" t="s">
        <v>29</v>
      </c>
      <c r="C918" s="0" t="s">
        <v>56</v>
      </c>
      <c r="D918" s="0" t="s">
        <v>21</v>
      </c>
      <c r="E918" s="0" t="s">
        <v>60</v>
      </c>
      <c r="F918" s="0" t="s">
        <v>27</v>
      </c>
      <c r="G918" s="16" t="n">
        <v>98.13</v>
      </c>
      <c r="H918" s="0" t="n">
        <v>6</v>
      </c>
      <c r="I918" s="16" t="n">
        <f aca="false">G918*H918*0.05</f>
        <v>29.439</v>
      </c>
      <c r="J918" s="16" t="n">
        <f aca="false">G918*H918*1.05</f>
        <v>618.219</v>
      </c>
      <c r="K918" s="17" t="n">
        <v>43547</v>
      </c>
      <c r="L918" s="14" t="s">
        <v>1465</v>
      </c>
      <c r="M918" s="14" t="s">
        <v>30</v>
      </c>
      <c r="N918" s="16" t="n">
        <f aca="false">G918*H918</f>
        <v>588.78</v>
      </c>
      <c r="O918" s="18" t="n">
        <v>4.761904762</v>
      </c>
      <c r="P918" s="16" t="n">
        <f aca="false">I918</f>
        <v>29.439</v>
      </c>
      <c r="Q918" s="19" t="n">
        <v>6.2</v>
      </c>
      <c r="R918" s="0" t="str">
        <f aca="false">TEXT(K918,"mmm yyyy")</f>
        <v>Mar 2019</v>
      </c>
      <c r="S918" s="14" t="n">
        <f aca="false">HOUR(TIMEVALUE(L918))</f>
        <v>12</v>
      </c>
      <c r="T918" s="0" t="str">
        <f aca="false">IF(S918&lt;12,"Morning",IF(S918&lt;17,"Afternoon","Evening"))</f>
        <v>Afternoon</v>
      </c>
      <c r="U918" s="16" t="n">
        <f aca="false">G918*H918*0.05</f>
        <v>29.439</v>
      </c>
    </row>
    <row r="919" customFormat="false" ht="15" hidden="false" customHeight="false" outlineLevel="0" collapsed="false">
      <c r="A919" s="0" t="s">
        <v>1466</v>
      </c>
      <c r="B919" s="0" t="s">
        <v>33</v>
      </c>
      <c r="C919" s="0" t="s">
        <v>65</v>
      </c>
      <c r="D919" s="0" t="s">
        <v>21</v>
      </c>
      <c r="E919" s="0" t="s">
        <v>60</v>
      </c>
      <c r="F919" s="0" t="s">
        <v>35</v>
      </c>
      <c r="G919" s="16" t="n">
        <v>87.04</v>
      </c>
      <c r="H919" s="0" t="n">
        <v>7</v>
      </c>
      <c r="I919" s="16" t="n">
        <f aca="false">G919*H919*0.05</f>
        <v>30.464</v>
      </c>
      <c r="J919" s="16" t="n">
        <f aca="false">G919*H919*1.05</f>
        <v>639.744</v>
      </c>
      <c r="K919" s="17" t="n">
        <v>43547</v>
      </c>
      <c r="L919" s="14" t="s">
        <v>140</v>
      </c>
      <c r="M919" s="14" t="s">
        <v>34</v>
      </c>
      <c r="N919" s="16" t="n">
        <f aca="false">G919*H919</f>
        <v>609.28</v>
      </c>
      <c r="O919" s="18" t="n">
        <v>4.761904762</v>
      </c>
      <c r="P919" s="16" t="n">
        <f aca="false">I919</f>
        <v>30.464</v>
      </c>
      <c r="Q919" s="19" t="n">
        <v>9.4</v>
      </c>
      <c r="R919" s="0" t="str">
        <f aca="false">TEXT(K919,"mmm yyyy")</f>
        <v>Mar 2019</v>
      </c>
      <c r="S919" s="14" t="n">
        <f aca="false">HOUR(TIMEVALUE(L919))</f>
        <v>17</v>
      </c>
      <c r="T919" s="0" t="str">
        <f aca="false">IF(S919&lt;12,"Morning",IF(S919&lt;17,"Afternoon","Evening"))</f>
        <v>Evening</v>
      </c>
      <c r="U919" s="16" t="n">
        <f aca="false">G919*H919*0.05</f>
        <v>30.464</v>
      </c>
    </row>
    <row r="920" customFormat="false" ht="15" hidden="false" customHeight="false" outlineLevel="0" collapsed="false">
      <c r="A920" s="0" t="s">
        <v>1467</v>
      </c>
      <c r="B920" s="0" t="s">
        <v>33</v>
      </c>
      <c r="C920" s="0" t="s">
        <v>65</v>
      </c>
      <c r="D920" s="0" t="s">
        <v>22</v>
      </c>
      <c r="E920" s="0" t="s">
        <v>60</v>
      </c>
      <c r="F920" s="0" t="s">
        <v>36</v>
      </c>
      <c r="G920" s="16" t="n">
        <v>84.63</v>
      </c>
      <c r="H920" s="0" t="n">
        <v>9</v>
      </c>
      <c r="I920" s="16" t="n">
        <f aca="false">G920*H920*0.05</f>
        <v>38.0835</v>
      </c>
      <c r="J920" s="16" t="n">
        <f aca="false">G920*H920*1.05</f>
        <v>799.7535</v>
      </c>
      <c r="K920" s="17" t="n">
        <v>43547</v>
      </c>
      <c r="L920" s="14" t="s">
        <v>666</v>
      </c>
      <c r="M920" s="14" t="s">
        <v>26</v>
      </c>
      <c r="N920" s="16" t="n">
        <f aca="false">G920*H920</f>
        <v>761.67</v>
      </c>
      <c r="O920" s="18" t="n">
        <v>4.761904762</v>
      </c>
      <c r="P920" s="16" t="n">
        <f aca="false">I920</f>
        <v>38.0835</v>
      </c>
      <c r="Q920" s="19" t="n">
        <v>9.5</v>
      </c>
      <c r="R920" s="0" t="str">
        <f aca="false">TEXT(K920,"mmm yyyy")</f>
        <v>Mar 2019</v>
      </c>
      <c r="S920" s="14" t="n">
        <f aca="false">HOUR(TIMEVALUE(L920))</f>
        <v>19</v>
      </c>
      <c r="T920" s="0" t="str">
        <f aca="false">IF(S920&lt;12,"Morning",IF(S920&lt;17,"Afternoon","Evening"))</f>
        <v>Evening</v>
      </c>
      <c r="U920" s="16" t="n">
        <f aca="false">G920*H920*0.05</f>
        <v>38.0835</v>
      </c>
    </row>
    <row r="921" customFormat="false" ht="15" hidden="false" customHeight="false" outlineLevel="0" collapsed="false">
      <c r="A921" s="0" t="s">
        <v>1468</v>
      </c>
      <c r="B921" s="0" t="s">
        <v>29</v>
      </c>
      <c r="C921" s="0" t="s">
        <v>56</v>
      </c>
      <c r="D921" s="0" t="s">
        <v>21</v>
      </c>
      <c r="E921" s="0" t="s">
        <v>57</v>
      </c>
      <c r="F921" s="0" t="s">
        <v>37</v>
      </c>
      <c r="G921" s="16" t="n">
        <v>81.06</v>
      </c>
      <c r="H921" s="0" t="n">
        <v>1</v>
      </c>
      <c r="I921" s="16" t="n">
        <f aca="false">G921*H921*0.05</f>
        <v>4.053</v>
      </c>
      <c r="J921" s="16" t="n">
        <f aca="false">G921*H921*1.05</f>
        <v>85.113</v>
      </c>
      <c r="K921" s="17" t="n">
        <v>43547</v>
      </c>
      <c r="L921" s="14" t="s">
        <v>1437</v>
      </c>
      <c r="M921" s="14" t="s">
        <v>30</v>
      </c>
      <c r="N921" s="16" t="n">
        <f aca="false">G921*H921</f>
        <v>81.06</v>
      </c>
      <c r="O921" s="18" t="n">
        <v>4.761904762</v>
      </c>
      <c r="P921" s="16" t="n">
        <f aca="false">I921</f>
        <v>4.053</v>
      </c>
      <c r="Q921" s="19" t="n">
        <v>5.1</v>
      </c>
      <c r="R921" s="0" t="str">
        <f aca="false">TEXT(K921,"mmm yyyy")</f>
        <v>Mar 2019</v>
      </c>
      <c r="S921" s="14" t="n">
        <f aca="false">HOUR(TIMEVALUE(L921))</f>
        <v>10</v>
      </c>
      <c r="T921" s="0" t="str">
        <f aca="false">IF(S921&lt;12,"Morning",IF(S921&lt;17,"Afternoon","Evening"))</f>
        <v>Morning</v>
      </c>
      <c r="U921" s="16" t="n">
        <f aca="false">G921*H921*0.05</f>
        <v>4.053</v>
      </c>
    </row>
    <row r="922" customFormat="false" ht="15" hidden="false" customHeight="false" outlineLevel="0" collapsed="false">
      <c r="A922" s="0" t="s">
        <v>1469</v>
      </c>
      <c r="B922" s="0" t="s">
        <v>33</v>
      </c>
      <c r="C922" s="0" t="s">
        <v>65</v>
      </c>
      <c r="D922" s="0" t="s">
        <v>21</v>
      </c>
      <c r="E922" s="0" t="s">
        <v>60</v>
      </c>
      <c r="F922" s="0" t="s">
        <v>23</v>
      </c>
      <c r="G922" s="16" t="n">
        <v>50.14</v>
      </c>
      <c r="H922" s="0" t="n">
        <v>10</v>
      </c>
      <c r="I922" s="16" t="n">
        <f aca="false">G922*H922*0.05</f>
        <v>25.07</v>
      </c>
      <c r="J922" s="16" t="n">
        <f aca="false">G922*H922*1.05</f>
        <v>526.47</v>
      </c>
      <c r="K922" s="17" t="n">
        <v>43547</v>
      </c>
      <c r="L922" s="14" t="s">
        <v>1470</v>
      </c>
      <c r="M922" s="14" t="s">
        <v>30</v>
      </c>
      <c r="N922" s="16" t="n">
        <f aca="false">G922*H922</f>
        <v>501.4</v>
      </c>
      <c r="O922" s="18" t="n">
        <v>4.761904762</v>
      </c>
      <c r="P922" s="16" t="n">
        <f aca="false">I922</f>
        <v>25.07</v>
      </c>
      <c r="Q922" s="19" t="n">
        <v>8.1</v>
      </c>
      <c r="R922" s="0" t="str">
        <f aca="false">TEXT(K922,"mmm yyyy")</f>
        <v>Mar 2019</v>
      </c>
      <c r="S922" s="14" t="n">
        <f aca="false">HOUR(TIMEVALUE(L922))</f>
        <v>18</v>
      </c>
      <c r="T922" s="0" t="str">
        <f aca="false">IF(S922&lt;12,"Morning",IF(S922&lt;17,"Afternoon","Evening"))</f>
        <v>Evening</v>
      </c>
      <c r="U922" s="16" t="n">
        <f aca="false">G922*H922*0.05</f>
        <v>25.07</v>
      </c>
    </row>
    <row r="923" customFormat="false" ht="15" hidden="false" customHeight="false" outlineLevel="0" collapsed="false">
      <c r="A923" s="0" t="s">
        <v>1471</v>
      </c>
      <c r="B923" s="0" t="s">
        <v>25</v>
      </c>
      <c r="C923" s="0" t="s">
        <v>68</v>
      </c>
      <c r="D923" s="0" t="s">
        <v>22</v>
      </c>
      <c r="E923" s="0" t="s">
        <v>60</v>
      </c>
      <c r="F923" s="0" t="s">
        <v>31</v>
      </c>
      <c r="G923" s="16" t="n">
        <v>98.96</v>
      </c>
      <c r="H923" s="0" t="n">
        <v>4</v>
      </c>
      <c r="I923" s="16" t="n">
        <f aca="false">G923*H923*0.05</f>
        <v>19.792</v>
      </c>
      <c r="J923" s="16" t="n">
        <f aca="false">G923*H923*1.05</f>
        <v>415.632</v>
      </c>
      <c r="K923" s="17" t="n">
        <v>43547</v>
      </c>
      <c r="L923" s="14" t="s">
        <v>164</v>
      </c>
      <c r="M923" s="14" t="s">
        <v>26</v>
      </c>
      <c r="N923" s="16" t="n">
        <f aca="false">G923*H923</f>
        <v>395.84</v>
      </c>
      <c r="O923" s="18" t="n">
        <v>4.761904762</v>
      </c>
      <c r="P923" s="16" t="n">
        <f aca="false">I923</f>
        <v>19.792</v>
      </c>
      <c r="Q923" s="19" t="n">
        <v>9.9</v>
      </c>
      <c r="R923" s="0" t="str">
        <f aca="false">TEXT(K923,"mmm yyyy")</f>
        <v>Mar 2019</v>
      </c>
      <c r="S923" s="14" t="n">
        <f aca="false">HOUR(TIMEVALUE(L923))</f>
        <v>14</v>
      </c>
      <c r="T923" s="0" t="str">
        <f aca="false">IF(S923&lt;12,"Morning",IF(S923&lt;17,"Afternoon","Evening"))</f>
        <v>Afternoon</v>
      </c>
      <c r="U923" s="16" t="n">
        <f aca="false">G923*H923*0.05</f>
        <v>19.792</v>
      </c>
    </row>
    <row r="924" customFormat="false" ht="15" hidden="false" customHeight="false" outlineLevel="0" collapsed="false">
      <c r="A924" s="0" t="s">
        <v>1472</v>
      </c>
      <c r="B924" s="0" t="s">
        <v>33</v>
      </c>
      <c r="C924" s="0" t="s">
        <v>65</v>
      </c>
      <c r="D924" s="0" t="s">
        <v>22</v>
      </c>
      <c r="E924" s="0" t="s">
        <v>57</v>
      </c>
      <c r="F924" s="0" t="s">
        <v>27</v>
      </c>
      <c r="G924" s="16" t="n">
        <v>39.53</v>
      </c>
      <c r="H924" s="0" t="n">
        <v>6</v>
      </c>
      <c r="I924" s="16" t="n">
        <f aca="false">G924*H924*0.05</f>
        <v>11.859</v>
      </c>
      <c r="J924" s="16" t="n">
        <f aca="false">G924*H924*1.05</f>
        <v>249.039</v>
      </c>
      <c r="K924" s="17" t="n">
        <v>43547</v>
      </c>
      <c r="L924" s="14" t="s">
        <v>979</v>
      </c>
      <c r="M924" s="14" t="s">
        <v>34</v>
      </c>
      <c r="N924" s="16" t="n">
        <f aca="false">G924*H924</f>
        <v>237.18</v>
      </c>
      <c r="O924" s="18" t="n">
        <v>4.761904762</v>
      </c>
      <c r="P924" s="16" t="n">
        <f aca="false">I924</f>
        <v>11.859</v>
      </c>
      <c r="Q924" s="19" t="n">
        <v>8.3</v>
      </c>
      <c r="R924" s="0" t="str">
        <f aca="false">TEXT(K924,"mmm yyyy")</f>
        <v>Mar 2019</v>
      </c>
      <c r="S924" s="14" t="n">
        <f aca="false">HOUR(TIMEVALUE(L924))</f>
        <v>15</v>
      </c>
      <c r="T924" s="0" t="str">
        <f aca="false">IF(S924&lt;12,"Morning",IF(S924&lt;17,"Afternoon","Evening"))</f>
        <v>Afternoon</v>
      </c>
      <c r="U924" s="16" t="n">
        <f aca="false">G924*H924*0.05</f>
        <v>11.859</v>
      </c>
    </row>
    <row r="925" customFormat="false" ht="15" hidden="false" customHeight="false" outlineLevel="0" collapsed="false">
      <c r="A925" s="0" t="s">
        <v>1473</v>
      </c>
      <c r="B925" s="0" t="s">
        <v>33</v>
      </c>
      <c r="C925" s="0" t="s">
        <v>65</v>
      </c>
      <c r="D925" s="0" t="s">
        <v>22</v>
      </c>
      <c r="E925" s="0" t="s">
        <v>57</v>
      </c>
      <c r="F925" s="0" t="s">
        <v>31</v>
      </c>
      <c r="G925" s="16" t="n">
        <v>89.48</v>
      </c>
      <c r="H925" s="0" t="n">
        <v>7</v>
      </c>
      <c r="I925" s="16" t="n">
        <f aca="false">G925*H925*0.05</f>
        <v>31.318</v>
      </c>
      <c r="J925" s="16" t="n">
        <f aca="false">G925*H925*1.05</f>
        <v>657.678</v>
      </c>
      <c r="K925" s="17" t="n">
        <v>43547</v>
      </c>
      <c r="L925" s="14" t="s">
        <v>709</v>
      </c>
      <c r="M925" s="14" t="s">
        <v>26</v>
      </c>
      <c r="N925" s="16" t="n">
        <f aca="false">G925*H925</f>
        <v>626.36</v>
      </c>
      <c r="O925" s="18" t="n">
        <v>4.761904762</v>
      </c>
      <c r="P925" s="16" t="n">
        <f aca="false">I925</f>
        <v>31.318</v>
      </c>
      <c r="Q925" s="19" t="n">
        <v>7.8</v>
      </c>
      <c r="R925" s="0" t="str">
        <f aca="false">TEXT(K925,"mmm yyyy")</f>
        <v>Mar 2019</v>
      </c>
      <c r="S925" s="14" t="n">
        <f aca="false">HOUR(TIMEVALUE(L925))</f>
        <v>19</v>
      </c>
      <c r="T925" s="0" t="str">
        <f aca="false">IF(S925&lt;12,"Morning",IF(S925&lt;17,"Afternoon","Evening"))</f>
        <v>Evening</v>
      </c>
      <c r="U925" s="16" t="n">
        <f aca="false">G925*H925*0.05</f>
        <v>31.318</v>
      </c>
    </row>
    <row r="926" customFormat="false" ht="15" hidden="false" customHeight="false" outlineLevel="0" collapsed="false">
      <c r="A926" s="0" t="s">
        <v>1474</v>
      </c>
      <c r="B926" s="0" t="s">
        <v>25</v>
      </c>
      <c r="C926" s="0" t="s">
        <v>68</v>
      </c>
      <c r="D926" s="0" t="s">
        <v>22</v>
      </c>
      <c r="E926" s="0" t="s">
        <v>57</v>
      </c>
      <c r="F926" s="0" t="s">
        <v>23</v>
      </c>
      <c r="G926" s="16" t="n">
        <v>55.09</v>
      </c>
      <c r="H926" s="0" t="n">
        <v>5</v>
      </c>
      <c r="I926" s="16" t="n">
        <f aca="false">G926*H926*0.05</f>
        <v>13.7725</v>
      </c>
      <c r="J926" s="16" t="n">
        <f aca="false">G926*H926*1.05</f>
        <v>289.2225</v>
      </c>
      <c r="K926" s="17" t="n">
        <v>43547</v>
      </c>
      <c r="L926" s="14" t="s">
        <v>352</v>
      </c>
      <c r="M926" s="14" t="s">
        <v>30</v>
      </c>
      <c r="N926" s="16" t="n">
        <f aca="false">G926*H926</f>
        <v>275.45</v>
      </c>
      <c r="O926" s="18" t="n">
        <v>4.761904762</v>
      </c>
      <c r="P926" s="16" t="n">
        <f aca="false">I926</f>
        <v>13.7725</v>
      </c>
      <c r="Q926" s="19" t="n">
        <v>9.9</v>
      </c>
      <c r="R926" s="0" t="str">
        <f aca="false">TEXT(K926,"mmm yyyy")</f>
        <v>Mar 2019</v>
      </c>
      <c r="S926" s="14" t="n">
        <f aca="false">HOUR(TIMEVALUE(L926))</f>
        <v>19</v>
      </c>
      <c r="T926" s="0" t="str">
        <f aca="false">IF(S926&lt;12,"Morning",IF(S926&lt;17,"Afternoon","Evening"))</f>
        <v>Evening</v>
      </c>
      <c r="U926" s="16" t="n">
        <f aca="false">G926*H926*0.05</f>
        <v>13.7725</v>
      </c>
    </row>
    <row r="927" customFormat="false" ht="15" hidden="false" customHeight="false" outlineLevel="0" collapsed="false">
      <c r="A927" s="0" t="s">
        <v>1475</v>
      </c>
      <c r="B927" s="0" t="s">
        <v>25</v>
      </c>
      <c r="C927" s="0" t="s">
        <v>68</v>
      </c>
      <c r="D927" s="0" t="s">
        <v>22</v>
      </c>
      <c r="E927" s="0" t="s">
        <v>60</v>
      </c>
      <c r="F927" s="0" t="s">
        <v>37</v>
      </c>
      <c r="G927" s="16" t="n">
        <v>63.3</v>
      </c>
      <c r="H927" s="0" t="n">
        <v>10</v>
      </c>
      <c r="I927" s="16" t="n">
        <f aca="false">G927*H927*0.05</f>
        <v>31.65</v>
      </c>
      <c r="J927" s="16" t="n">
        <f aca="false">G927*H927*1.05</f>
        <v>664.65</v>
      </c>
      <c r="K927" s="17" t="n">
        <v>43547</v>
      </c>
      <c r="L927" s="14" t="s">
        <v>561</v>
      </c>
      <c r="M927" s="14" t="s">
        <v>26</v>
      </c>
      <c r="N927" s="16" t="n">
        <f aca="false">G927*H927</f>
        <v>633</v>
      </c>
      <c r="O927" s="18" t="n">
        <v>4.761904762</v>
      </c>
      <c r="P927" s="16" t="n">
        <f aca="false">I927</f>
        <v>31.65</v>
      </c>
      <c r="Q927" s="19" t="n">
        <v>5.6</v>
      </c>
      <c r="R927" s="0" t="str">
        <f aca="false">TEXT(K927,"mmm yyyy")</f>
        <v>Mar 2019</v>
      </c>
      <c r="S927" s="14" t="n">
        <f aca="false">HOUR(TIMEVALUE(L927))</f>
        <v>18</v>
      </c>
      <c r="T927" s="0" t="str">
        <f aca="false">IF(S927&lt;12,"Morning",IF(S927&lt;17,"Afternoon","Evening"))</f>
        <v>Evening</v>
      </c>
      <c r="U927" s="16" t="n">
        <f aca="false">G927*H927*0.05</f>
        <v>31.65</v>
      </c>
    </row>
    <row r="928" customFormat="false" ht="15" hidden="false" customHeight="false" outlineLevel="0" collapsed="false">
      <c r="A928" s="0" t="s">
        <v>1476</v>
      </c>
      <c r="B928" s="0" t="s">
        <v>25</v>
      </c>
      <c r="C928" s="0" t="s">
        <v>68</v>
      </c>
      <c r="D928" s="0" t="s">
        <v>22</v>
      </c>
      <c r="E928" s="0" t="s">
        <v>57</v>
      </c>
      <c r="F928" s="0" t="s">
        <v>35</v>
      </c>
      <c r="G928" s="16" t="n">
        <v>49.54</v>
      </c>
      <c r="H928" s="0" t="n">
        <v>6</v>
      </c>
      <c r="I928" s="16" t="n">
        <f aca="false">G928*H928*0.05</f>
        <v>14.862</v>
      </c>
      <c r="J928" s="16" t="n">
        <f aca="false">G928*H928*1.05</f>
        <v>312.102</v>
      </c>
      <c r="K928" s="17" t="n">
        <v>43547</v>
      </c>
      <c r="L928" s="14" t="s">
        <v>85</v>
      </c>
      <c r="M928" s="14" t="s">
        <v>30</v>
      </c>
      <c r="N928" s="16" t="n">
        <f aca="false">G928*H928</f>
        <v>297.24</v>
      </c>
      <c r="O928" s="18" t="n">
        <v>4.761904762</v>
      </c>
      <c r="P928" s="16" t="n">
        <f aca="false">I928</f>
        <v>14.862</v>
      </c>
      <c r="Q928" s="19" t="n">
        <v>8.8</v>
      </c>
      <c r="R928" s="0" t="str">
        <f aca="false">TEXT(K928,"mmm yyyy")</f>
        <v>Mar 2019</v>
      </c>
      <c r="S928" s="14" t="n">
        <f aca="false">HOUR(TIMEVALUE(L928))</f>
        <v>11</v>
      </c>
      <c r="T928" s="0" t="str">
        <f aca="false">IF(S928&lt;12,"Morning",IF(S928&lt;17,"Afternoon","Evening"))</f>
        <v>Morning</v>
      </c>
      <c r="U928" s="16" t="n">
        <f aca="false">G928*H928*0.05</f>
        <v>14.862</v>
      </c>
    </row>
    <row r="929" customFormat="false" ht="15" hidden="false" customHeight="false" outlineLevel="0" collapsed="false">
      <c r="A929" s="0" t="s">
        <v>1477</v>
      </c>
      <c r="B929" s="0" t="s">
        <v>29</v>
      </c>
      <c r="C929" s="0" t="s">
        <v>56</v>
      </c>
      <c r="D929" s="0" t="s">
        <v>22</v>
      </c>
      <c r="E929" s="0" t="s">
        <v>57</v>
      </c>
      <c r="F929" s="0" t="s">
        <v>27</v>
      </c>
      <c r="G929" s="16" t="n">
        <v>96.03</v>
      </c>
      <c r="H929" s="0" t="n">
        <v>10</v>
      </c>
      <c r="I929" s="16" t="n">
        <f aca="false">G929*H929*0.05</f>
        <v>48.015</v>
      </c>
      <c r="J929" s="16" t="n">
        <f aca="false">G929*H929*1.05</f>
        <v>1008.315</v>
      </c>
      <c r="K929" s="17" t="n">
        <v>43547</v>
      </c>
      <c r="L929" s="14" t="s">
        <v>1478</v>
      </c>
      <c r="M929" s="14" t="s">
        <v>26</v>
      </c>
      <c r="N929" s="16" t="n">
        <f aca="false">G929*H929</f>
        <v>960.3</v>
      </c>
      <c r="O929" s="18" t="n">
        <v>4.761904762</v>
      </c>
      <c r="P929" s="16" t="n">
        <f aca="false">I929</f>
        <v>48.015</v>
      </c>
      <c r="Q929" s="19" t="n">
        <v>4.7</v>
      </c>
      <c r="R929" s="0" t="str">
        <f aca="false">TEXT(K929,"mmm yyyy")</f>
        <v>Mar 2019</v>
      </c>
      <c r="S929" s="14" t="n">
        <f aca="false">HOUR(TIMEVALUE(L929))</f>
        <v>13</v>
      </c>
      <c r="T929" s="0" t="str">
        <f aca="false">IF(S929&lt;12,"Morning",IF(S929&lt;17,"Afternoon","Evening"))</f>
        <v>Afternoon</v>
      </c>
      <c r="U929" s="16" t="n">
        <f aca="false">G929*H929*0.05</f>
        <v>48.015</v>
      </c>
    </row>
    <row r="930" customFormat="false" ht="15" hidden="false" customHeight="false" outlineLevel="0" collapsed="false">
      <c r="A930" s="0" t="s">
        <v>1479</v>
      </c>
      <c r="B930" s="0" t="s">
        <v>29</v>
      </c>
      <c r="C930" s="0" t="s">
        <v>56</v>
      </c>
      <c r="D930" s="0" t="s">
        <v>21</v>
      </c>
      <c r="E930" s="0" t="s">
        <v>60</v>
      </c>
      <c r="F930" s="0" t="s">
        <v>35</v>
      </c>
      <c r="G930" s="16" t="n">
        <v>81.27</v>
      </c>
      <c r="H930" s="0" t="n">
        <v>7</v>
      </c>
      <c r="I930" s="16" t="n">
        <f aca="false">G930*H930*0.05</f>
        <v>28.4445</v>
      </c>
      <c r="J930" s="16" t="n">
        <f aca="false">G930*H930*1.05</f>
        <v>597.3345</v>
      </c>
      <c r="K930" s="17" t="n">
        <v>43547</v>
      </c>
      <c r="L930" s="14" t="s">
        <v>399</v>
      </c>
      <c r="M930" s="14" t="s">
        <v>34</v>
      </c>
      <c r="N930" s="16" t="n">
        <f aca="false">G930*H930</f>
        <v>568.89</v>
      </c>
      <c r="O930" s="18" t="n">
        <v>4.761904762</v>
      </c>
      <c r="P930" s="16" t="n">
        <f aca="false">I930</f>
        <v>28.4445</v>
      </c>
      <c r="Q930" s="19" t="n">
        <v>9.5</v>
      </c>
      <c r="R930" s="0" t="str">
        <f aca="false">TEXT(K930,"mmm yyyy")</f>
        <v>Mar 2019</v>
      </c>
      <c r="S930" s="14" t="n">
        <f aca="false">HOUR(TIMEVALUE(L930))</f>
        <v>13</v>
      </c>
      <c r="T930" s="0" t="str">
        <f aca="false">IF(S930&lt;12,"Morning",IF(S930&lt;17,"Afternoon","Evening"))</f>
        <v>Afternoon</v>
      </c>
      <c r="U930" s="16" t="n">
        <f aca="false">G930*H930*0.05</f>
        <v>28.4445</v>
      </c>
    </row>
    <row r="931" customFormat="false" ht="15" hidden="false" customHeight="false" outlineLevel="0" collapsed="false">
      <c r="A931" s="0" t="s">
        <v>1480</v>
      </c>
      <c r="B931" s="0" t="s">
        <v>29</v>
      </c>
      <c r="C931" s="0" t="s">
        <v>56</v>
      </c>
      <c r="D931" s="0" t="s">
        <v>21</v>
      </c>
      <c r="E931" s="0" t="s">
        <v>60</v>
      </c>
      <c r="F931" s="0" t="s">
        <v>37</v>
      </c>
      <c r="G931" s="16" t="n">
        <v>83.77</v>
      </c>
      <c r="H931" s="0" t="n">
        <v>4</v>
      </c>
      <c r="I931" s="16" t="n">
        <f aca="false">G931*H931*0.05</f>
        <v>16.754</v>
      </c>
      <c r="J931" s="16" t="n">
        <f aca="false">G931*H931*1.05</f>
        <v>351.834</v>
      </c>
      <c r="K931" s="17" t="n">
        <v>43547</v>
      </c>
      <c r="L931" s="14" t="s">
        <v>196</v>
      </c>
      <c r="M931" s="14" t="s">
        <v>30</v>
      </c>
      <c r="N931" s="16" t="n">
        <f aca="false">G931*H931</f>
        <v>335.08</v>
      </c>
      <c r="O931" s="18" t="n">
        <v>4.761904762</v>
      </c>
      <c r="P931" s="16" t="n">
        <f aca="false">I931</f>
        <v>16.754</v>
      </c>
      <c r="Q931" s="19" t="n">
        <v>8.7</v>
      </c>
      <c r="R931" s="0" t="str">
        <f aca="false">TEXT(K931,"mmm yyyy")</f>
        <v>Mar 2019</v>
      </c>
      <c r="S931" s="14" t="n">
        <f aca="false">HOUR(TIMEVALUE(L931))</f>
        <v>17</v>
      </c>
      <c r="T931" s="0" t="str">
        <f aca="false">IF(S931&lt;12,"Morning",IF(S931&lt;17,"Afternoon","Evening"))</f>
        <v>Evening</v>
      </c>
      <c r="U931" s="16" t="n">
        <f aca="false">G931*H931*0.05</f>
        <v>16.754</v>
      </c>
    </row>
    <row r="932" customFormat="false" ht="15" hidden="false" customHeight="false" outlineLevel="0" collapsed="false">
      <c r="A932" s="0" t="s">
        <v>1481</v>
      </c>
      <c r="B932" s="0" t="s">
        <v>29</v>
      </c>
      <c r="C932" s="0" t="s">
        <v>56</v>
      </c>
      <c r="D932" s="0" t="s">
        <v>22</v>
      </c>
      <c r="E932" s="0" t="s">
        <v>60</v>
      </c>
      <c r="F932" s="0" t="s">
        <v>35</v>
      </c>
      <c r="G932" s="16" t="n">
        <v>12.34</v>
      </c>
      <c r="H932" s="0" t="n">
        <v>4</v>
      </c>
      <c r="I932" s="16" t="n">
        <f aca="false">G932*H932*0.05</f>
        <v>2.468</v>
      </c>
      <c r="J932" s="16" t="n">
        <f aca="false">G932*H932*1.05</f>
        <v>51.828</v>
      </c>
      <c r="K932" s="17" t="n">
        <v>43547</v>
      </c>
      <c r="L932" s="14" t="s">
        <v>666</v>
      </c>
      <c r="M932" s="14" t="s">
        <v>34</v>
      </c>
      <c r="N932" s="16" t="n">
        <f aca="false">G932*H932</f>
        <v>49.36</v>
      </c>
      <c r="O932" s="18" t="n">
        <v>4.761904762</v>
      </c>
      <c r="P932" s="16" t="n">
        <f aca="false">I932</f>
        <v>2.468</v>
      </c>
      <c r="Q932" s="19" t="n">
        <v>5.2</v>
      </c>
      <c r="R932" s="0" t="str">
        <f aca="false">TEXT(K932,"mmm yyyy")</f>
        <v>Mar 2019</v>
      </c>
      <c r="S932" s="14" t="n">
        <f aca="false">HOUR(TIMEVALUE(L932))</f>
        <v>19</v>
      </c>
      <c r="T932" s="0" t="str">
        <f aca="false">IF(S932&lt;12,"Morning",IF(S932&lt;17,"Afternoon","Evening"))</f>
        <v>Evening</v>
      </c>
      <c r="U932" s="16" t="n">
        <f aca="false">G932*H932*0.05</f>
        <v>2.468</v>
      </c>
    </row>
    <row r="933" customFormat="false" ht="15" hidden="false" customHeight="false" outlineLevel="0" collapsed="false">
      <c r="A933" s="0" t="s">
        <v>1482</v>
      </c>
      <c r="B933" s="0" t="s">
        <v>29</v>
      </c>
      <c r="C933" s="0" t="s">
        <v>56</v>
      </c>
      <c r="D933" s="0" t="s">
        <v>21</v>
      </c>
      <c r="E933" s="0" t="s">
        <v>57</v>
      </c>
      <c r="F933" s="0" t="s">
        <v>23</v>
      </c>
      <c r="G933" s="16" t="n">
        <v>41.97</v>
      </c>
      <c r="H933" s="0" t="n">
        <v>7</v>
      </c>
      <c r="I933" s="16" t="n">
        <f aca="false">G933*H933*0.05</f>
        <v>14.6895</v>
      </c>
      <c r="J933" s="16" t="n">
        <f aca="false">G933*H933*1.05</f>
        <v>308.4795</v>
      </c>
      <c r="K933" s="17" t="n">
        <v>43547</v>
      </c>
      <c r="L933" s="14" t="s">
        <v>571</v>
      </c>
      <c r="M933" s="14" t="s">
        <v>34</v>
      </c>
      <c r="N933" s="16" t="n">
        <f aca="false">G933*H933</f>
        <v>293.79</v>
      </c>
      <c r="O933" s="18" t="n">
        <v>4.761904762</v>
      </c>
      <c r="P933" s="16" t="n">
        <f aca="false">I933</f>
        <v>14.6895</v>
      </c>
      <c r="Q933" s="19" t="n">
        <v>8.8</v>
      </c>
      <c r="R933" s="0" t="str">
        <f aca="false">TEXT(K933,"mmm yyyy")</f>
        <v>Mar 2019</v>
      </c>
      <c r="S933" s="14" t="n">
        <f aca="false">HOUR(TIMEVALUE(L933))</f>
        <v>10</v>
      </c>
      <c r="T933" s="0" t="str">
        <f aca="false">IF(S933&lt;12,"Morning",IF(S933&lt;17,"Afternoon","Evening"))</f>
        <v>Morning</v>
      </c>
      <c r="U933" s="16" t="n">
        <f aca="false">G933*H933*0.05</f>
        <v>14.6895</v>
      </c>
    </row>
    <row r="934" customFormat="false" ht="15" hidden="false" customHeight="false" outlineLevel="0" collapsed="false">
      <c r="A934" s="0" t="s">
        <v>1483</v>
      </c>
      <c r="B934" s="0" t="s">
        <v>25</v>
      </c>
      <c r="C934" s="0" t="s">
        <v>68</v>
      </c>
      <c r="D934" s="0" t="s">
        <v>21</v>
      </c>
      <c r="E934" s="0" t="s">
        <v>57</v>
      </c>
      <c r="F934" s="0" t="s">
        <v>36</v>
      </c>
      <c r="G934" s="16" t="n">
        <v>39.35</v>
      </c>
      <c r="H934" s="0" t="n">
        <v>3</v>
      </c>
      <c r="I934" s="16" t="n">
        <f aca="false">G934*H934*0.05</f>
        <v>5.9025</v>
      </c>
      <c r="J934" s="16" t="n">
        <f aca="false">G934*H934*1.05</f>
        <v>123.9525</v>
      </c>
      <c r="K934" s="17" t="n">
        <v>43547</v>
      </c>
      <c r="L934" s="14" t="s">
        <v>615</v>
      </c>
      <c r="M934" s="14" t="s">
        <v>34</v>
      </c>
      <c r="N934" s="16" t="n">
        <f aca="false">G934*H934</f>
        <v>118.05</v>
      </c>
      <c r="O934" s="18" t="n">
        <v>4.761904762</v>
      </c>
      <c r="P934" s="16" t="n">
        <f aca="false">I934</f>
        <v>5.9025</v>
      </c>
      <c r="Q934" s="19" t="n">
        <v>5.3</v>
      </c>
      <c r="R934" s="0" t="str">
        <f aca="false">TEXT(K934,"mmm yyyy")</f>
        <v>Mar 2019</v>
      </c>
      <c r="S934" s="14" t="n">
        <f aca="false">HOUR(TIMEVALUE(L934))</f>
        <v>14</v>
      </c>
      <c r="T934" s="0" t="str">
        <f aca="false">IF(S934&lt;12,"Morning",IF(S934&lt;17,"Afternoon","Evening"))</f>
        <v>Afternoon</v>
      </c>
      <c r="U934" s="16" t="n">
        <f aca="false">G934*H934*0.05</f>
        <v>5.9025</v>
      </c>
    </row>
    <row r="935" customFormat="false" ht="15" hidden="false" customHeight="false" outlineLevel="0" collapsed="false">
      <c r="A935" s="0" t="s">
        <v>1484</v>
      </c>
      <c r="B935" s="0" t="s">
        <v>29</v>
      </c>
      <c r="C935" s="0" t="s">
        <v>56</v>
      </c>
      <c r="D935" s="0" t="s">
        <v>21</v>
      </c>
      <c r="E935" s="0" t="s">
        <v>57</v>
      </c>
      <c r="F935" s="0" t="s">
        <v>23</v>
      </c>
      <c r="G935" s="16" t="n">
        <v>97.29</v>
      </c>
      <c r="H935" s="0" t="n">
        <v>6</v>
      </c>
      <c r="I935" s="16" t="n">
        <f aca="false">G935*H935*0.05</f>
        <v>29.187</v>
      </c>
      <c r="J935" s="16" t="n">
        <f aca="false">G935*H935*1.05</f>
        <v>612.927</v>
      </c>
      <c r="K935" s="17" t="n">
        <v>43548</v>
      </c>
      <c r="L935" s="14" t="s">
        <v>1427</v>
      </c>
      <c r="M935" s="14" t="s">
        <v>30</v>
      </c>
      <c r="N935" s="16" t="n">
        <f aca="false">G935*H935</f>
        <v>583.74</v>
      </c>
      <c r="O935" s="18" t="n">
        <v>4.761904762</v>
      </c>
      <c r="P935" s="16" t="n">
        <f aca="false">I935</f>
        <v>29.187</v>
      </c>
      <c r="Q935" s="19" t="n">
        <v>6.4</v>
      </c>
      <c r="R935" s="0" t="str">
        <f aca="false">TEXT(K935,"mmm yyyy")</f>
        <v>Mar 2019</v>
      </c>
      <c r="S935" s="14" t="n">
        <f aca="false">HOUR(TIMEVALUE(L935))</f>
        <v>16</v>
      </c>
      <c r="T935" s="0" t="str">
        <f aca="false">IF(S935&lt;12,"Morning",IF(S935&lt;17,"Afternoon","Evening"))</f>
        <v>Afternoon</v>
      </c>
      <c r="U935" s="16" t="n">
        <f aca="false">G935*H935*0.05</f>
        <v>29.187</v>
      </c>
    </row>
    <row r="936" customFormat="false" ht="15" hidden="false" customHeight="false" outlineLevel="0" collapsed="false">
      <c r="A936" s="0" t="s">
        <v>1485</v>
      </c>
      <c r="B936" s="0" t="s">
        <v>29</v>
      </c>
      <c r="C936" s="0" t="s">
        <v>56</v>
      </c>
      <c r="D936" s="0" t="s">
        <v>21</v>
      </c>
      <c r="E936" s="0" t="s">
        <v>60</v>
      </c>
      <c r="F936" s="0" t="s">
        <v>23</v>
      </c>
      <c r="G936" s="16" t="n">
        <v>22.72</v>
      </c>
      <c r="H936" s="0" t="n">
        <v>1</v>
      </c>
      <c r="I936" s="16" t="n">
        <f aca="false">G936*H936*0.05</f>
        <v>1.136</v>
      </c>
      <c r="J936" s="16" t="n">
        <f aca="false">G936*H936*1.05</f>
        <v>23.856</v>
      </c>
      <c r="K936" s="17" t="n">
        <v>43548</v>
      </c>
      <c r="L936" s="14" t="s">
        <v>1486</v>
      </c>
      <c r="M936" s="14" t="s">
        <v>26</v>
      </c>
      <c r="N936" s="16" t="n">
        <f aca="false">G936*H936</f>
        <v>22.72</v>
      </c>
      <c r="O936" s="18" t="n">
        <v>4.761904762</v>
      </c>
      <c r="P936" s="16" t="n">
        <f aca="false">I936</f>
        <v>1.136</v>
      </c>
      <c r="Q936" s="19" t="n">
        <v>10</v>
      </c>
      <c r="R936" s="0" t="str">
        <f aca="false">TEXT(K936,"mmm yyyy")</f>
        <v>Mar 2019</v>
      </c>
      <c r="S936" s="14" t="n">
        <f aca="false">HOUR(TIMEVALUE(L936))</f>
        <v>19</v>
      </c>
      <c r="T936" s="0" t="str">
        <f aca="false">IF(S936&lt;12,"Morning",IF(S936&lt;17,"Afternoon","Evening"))</f>
        <v>Evening</v>
      </c>
      <c r="U936" s="16" t="n">
        <f aca="false">G936*H936*0.05</f>
        <v>1.136</v>
      </c>
    </row>
    <row r="937" customFormat="false" ht="15" hidden="false" customHeight="false" outlineLevel="0" collapsed="false">
      <c r="A937" s="0" t="s">
        <v>1487</v>
      </c>
      <c r="B937" s="0" t="s">
        <v>33</v>
      </c>
      <c r="C937" s="0" t="s">
        <v>65</v>
      </c>
      <c r="D937" s="0" t="s">
        <v>22</v>
      </c>
      <c r="E937" s="0" t="s">
        <v>57</v>
      </c>
      <c r="F937" s="0" t="s">
        <v>23</v>
      </c>
      <c r="G937" s="16" t="n">
        <v>31.12</v>
      </c>
      <c r="H937" s="0" t="n">
        <v>2</v>
      </c>
      <c r="I937" s="16" t="n">
        <f aca="false">G937*H937*0.05</f>
        <v>3.112</v>
      </c>
      <c r="J937" s="16" t="n">
        <f aca="false">G937*H937*1.05</f>
        <v>65.352</v>
      </c>
      <c r="K937" s="17" t="n">
        <v>43548</v>
      </c>
      <c r="L937" s="14" t="s">
        <v>1488</v>
      </c>
      <c r="M937" s="14" t="s">
        <v>26</v>
      </c>
      <c r="N937" s="16" t="n">
        <f aca="false">G937*H937</f>
        <v>62.24</v>
      </c>
      <c r="O937" s="18" t="n">
        <v>4.761904762</v>
      </c>
      <c r="P937" s="16" t="n">
        <f aca="false">I937</f>
        <v>3.112</v>
      </c>
      <c r="Q937" s="19" t="n">
        <v>5.8</v>
      </c>
      <c r="R937" s="0" t="str">
        <f aca="false">TEXT(K937,"mmm yyyy")</f>
        <v>Mar 2019</v>
      </c>
      <c r="S937" s="14" t="n">
        <f aca="false">HOUR(TIMEVALUE(L937))</f>
        <v>16</v>
      </c>
      <c r="T937" s="0" t="str">
        <f aca="false">IF(S937&lt;12,"Morning",IF(S937&lt;17,"Afternoon","Evening"))</f>
        <v>Afternoon</v>
      </c>
      <c r="U937" s="16" t="n">
        <f aca="false">G937*H937*0.05</f>
        <v>3.112</v>
      </c>
    </row>
    <row r="938" customFormat="false" ht="15" hidden="false" customHeight="false" outlineLevel="0" collapsed="false">
      <c r="A938" s="0" t="s">
        <v>1489</v>
      </c>
      <c r="B938" s="0" t="s">
        <v>25</v>
      </c>
      <c r="C938" s="0" t="s">
        <v>68</v>
      </c>
      <c r="D938" s="0" t="s">
        <v>21</v>
      </c>
      <c r="E938" s="0" t="s">
        <v>60</v>
      </c>
      <c r="F938" s="0" t="s">
        <v>35</v>
      </c>
      <c r="G938" s="16" t="n">
        <v>77.58</v>
      </c>
      <c r="H938" s="0" t="n">
        <v>5</v>
      </c>
      <c r="I938" s="16" t="n">
        <f aca="false">G938*H938*0.05</f>
        <v>19.395</v>
      </c>
      <c r="J938" s="16" t="n">
        <f aca="false">G938*H938*1.05</f>
        <v>407.295</v>
      </c>
      <c r="K938" s="17" t="n">
        <v>43548</v>
      </c>
      <c r="L938" s="14" t="s">
        <v>1490</v>
      </c>
      <c r="M938" s="14" t="s">
        <v>34</v>
      </c>
      <c r="N938" s="16" t="n">
        <f aca="false">G938*H938</f>
        <v>387.9</v>
      </c>
      <c r="O938" s="18" t="n">
        <v>4.761904762</v>
      </c>
      <c r="P938" s="16" t="n">
        <f aca="false">I938</f>
        <v>19.395</v>
      </c>
      <c r="Q938" s="19" t="n">
        <v>7.5</v>
      </c>
      <c r="R938" s="0" t="str">
        <f aca="false">TEXT(K938,"mmm yyyy")</f>
        <v>Mar 2019</v>
      </c>
      <c r="S938" s="14" t="n">
        <f aca="false">HOUR(TIMEVALUE(L938))</f>
        <v>11</v>
      </c>
      <c r="T938" s="0" t="str">
        <f aca="false">IF(S938&lt;12,"Morning",IF(S938&lt;17,"Afternoon","Evening"))</f>
        <v>Morning</v>
      </c>
      <c r="U938" s="16" t="n">
        <f aca="false">G938*H938*0.05</f>
        <v>19.395</v>
      </c>
    </row>
    <row r="939" customFormat="false" ht="15" hidden="false" customHeight="false" outlineLevel="0" collapsed="false">
      <c r="A939" s="0" t="s">
        <v>1491</v>
      </c>
      <c r="B939" s="0" t="s">
        <v>25</v>
      </c>
      <c r="C939" s="0" t="s">
        <v>68</v>
      </c>
      <c r="D939" s="0" t="s">
        <v>21</v>
      </c>
      <c r="E939" s="0" t="s">
        <v>60</v>
      </c>
      <c r="F939" s="0" t="s">
        <v>31</v>
      </c>
      <c r="G939" s="16" t="n">
        <v>83.11</v>
      </c>
      <c r="H939" s="0" t="n">
        <v>2</v>
      </c>
      <c r="I939" s="16" t="n">
        <f aca="false">G939*H939*0.05</f>
        <v>8.311</v>
      </c>
      <c r="J939" s="16" t="n">
        <f aca="false">G939*H939*1.05</f>
        <v>174.531</v>
      </c>
      <c r="K939" s="17" t="n">
        <v>43548</v>
      </c>
      <c r="L939" s="14" t="s">
        <v>1028</v>
      </c>
      <c r="M939" s="14" t="s">
        <v>30</v>
      </c>
      <c r="N939" s="16" t="n">
        <f aca="false">G939*H939</f>
        <v>166.22</v>
      </c>
      <c r="O939" s="18" t="n">
        <v>4.761904762</v>
      </c>
      <c r="P939" s="16" t="n">
        <f aca="false">I939</f>
        <v>8.311</v>
      </c>
      <c r="Q939" s="19" t="n">
        <v>5.1</v>
      </c>
      <c r="R939" s="0" t="str">
        <f aca="false">TEXT(K939,"mmm yyyy")</f>
        <v>Mar 2019</v>
      </c>
      <c r="S939" s="14" t="n">
        <f aca="false">HOUR(TIMEVALUE(L939))</f>
        <v>13</v>
      </c>
      <c r="T939" s="0" t="str">
        <f aca="false">IF(S939&lt;12,"Morning",IF(S939&lt;17,"Afternoon","Evening"))</f>
        <v>Afternoon</v>
      </c>
      <c r="U939" s="16" t="n">
        <f aca="false">G939*H939*0.05</f>
        <v>8.311</v>
      </c>
    </row>
    <row r="940" customFormat="false" ht="15" hidden="false" customHeight="false" outlineLevel="0" collapsed="false">
      <c r="A940" s="0" t="s">
        <v>1492</v>
      </c>
      <c r="B940" s="0" t="s">
        <v>33</v>
      </c>
      <c r="C940" s="0" t="s">
        <v>65</v>
      </c>
      <c r="D940" s="0" t="s">
        <v>22</v>
      </c>
      <c r="E940" s="0" t="s">
        <v>60</v>
      </c>
      <c r="F940" s="0" t="s">
        <v>35</v>
      </c>
      <c r="G940" s="16" t="n">
        <v>84.06</v>
      </c>
      <c r="H940" s="0" t="n">
        <v>3</v>
      </c>
      <c r="I940" s="16" t="n">
        <f aca="false">G940*H940*0.05</f>
        <v>12.609</v>
      </c>
      <c r="J940" s="16" t="n">
        <f aca="false">G940*H940*1.05</f>
        <v>264.789</v>
      </c>
      <c r="K940" s="17" t="n">
        <v>43548</v>
      </c>
      <c r="L940" s="14" t="s">
        <v>1043</v>
      </c>
      <c r="M940" s="14" t="s">
        <v>34</v>
      </c>
      <c r="N940" s="16" t="n">
        <f aca="false">G940*H940</f>
        <v>252.18</v>
      </c>
      <c r="O940" s="18" t="n">
        <v>4.761904762</v>
      </c>
      <c r="P940" s="16" t="n">
        <f aca="false">I940</f>
        <v>12.609</v>
      </c>
      <c r="Q940" s="19" t="n">
        <v>5.1</v>
      </c>
      <c r="R940" s="0" t="str">
        <f aca="false">TEXT(K940,"mmm yyyy")</f>
        <v>Mar 2019</v>
      </c>
      <c r="S940" s="14" t="n">
        <f aca="false">HOUR(TIMEVALUE(L940))</f>
        <v>19</v>
      </c>
      <c r="T940" s="0" t="str">
        <f aca="false">IF(S940&lt;12,"Morning",IF(S940&lt;17,"Afternoon","Evening"))</f>
        <v>Evening</v>
      </c>
      <c r="U940" s="16" t="n">
        <f aca="false">G940*H940*0.05</f>
        <v>12.609</v>
      </c>
    </row>
    <row r="941" customFormat="false" ht="15" hidden="false" customHeight="false" outlineLevel="0" collapsed="false">
      <c r="A941" s="0" t="s">
        <v>1493</v>
      </c>
      <c r="B941" s="0" t="s">
        <v>25</v>
      </c>
      <c r="C941" s="0" t="s">
        <v>68</v>
      </c>
      <c r="D941" s="0" t="s">
        <v>21</v>
      </c>
      <c r="E941" s="0" t="s">
        <v>57</v>
      </c>
      <c r="F941" s="0" t="s">
        <v>31</v>
      </c>
      <c r="G941" s="16" t="n">
        <v>16.46</v>
      </c>
      <c r="H941" s="0" t="n">
        <v>6</v>
      </c>
      <c r="I941" s="16" t="n">
        <f aca="false">G941*H941*0.05</f>
        <v>4.938</v>
      </c>
      <c r="J941" s="16" t="n">
        <f aca="false">G941*H941*1.05</f>
        <v>103.698</v>
      </c>
      <c r="K941" s="17" t="n">
        <v>43548</v>
      </c>
      <c r="L941" s="14" t="s">
        <v>707</v>
      </c>
      <c r="M941" s="14" t="s">
        <v>34</v>
      </c>
      <c r="N941" s="16" t="n">
        <f aca="false">G941*H941</f>
        <v>98.76</v>
      </c>
      <c r="O941" s="18" t="n">
        <v>4.761904762</v>
      </c>
      <c r="P941" s="16" t="n">
        <f aca="false">I941</f>
        <v>4.938</v>
      </c>
      <c r="Q941" s="19" t="n">
        <v>9.5</v>
      </c>
      <c r="R941" s="0" t="str">
        <f aca="false">TEXT(K941,"mmm yyyy")</f>
        <v>Mar 2019</v>
      </c>
      <c r="S941" s="14" t="n">
        <f aca="false">HOUR(TIMEVALUE(L941))</f>
        <v>13</v>
      </c>
      <c r="T941" s="0" t="str">
        <f aca="false">IF(S941&lt;12,"Morning",IF(S941&lt;17,"Afternoon","Evening"))</f>
        <v>Afternoon</v>
      </c>
      <c r="U941" s="16" t="n">
        <f aca="false">G941*H941*0.05</f>
        <v>4.938</v>
      </c>
    </row>
    <row r="942" customFormat="false" ht="15" hidden="false" customHeight="false" outlineLevel="0" collapsed="false">
      <c r="A942" s="0" t="s">
        <v>1494</v>
      </c>
      <c r="B942" s="0" t="s">
        <v>29</v>
      </c>
      <c r="C942" s="0" t="s">
        <v>56</v>
      </c>
      <c r="D942" s="0" t="s">
        <v>21</v>
      </c>
      <c r="E942" s="0" t="s">
        <v>57</v>
      </c>
      <c r="F942" s="0" t="s">
        <v>35</v>
      </c>
      <c r="G942" s="16" t="n">
        <v>43.65</v>
      </c>
      <c r="H942" s="0" t="n">
        <v>3</v>
      </c>
      <c r="I942" s="16" t="n">
        <f aca="false">G942*H942*0.05</f>
        <v>6.5475</v>
      </c>
      <c r="J942" s="16" t="n">
        <f aca="false">G942*H942*1.05</f>
        <v>137.4975</v>
      </c>
      <c r="K942" s="17" t="n">
        <v>43548</v>
      </c>
      <c r="L942" s="14" t="s">
        <v>508</v>
      </c>
      <c r="M942" s="14" t="s">
        <v>26</v>
      </c>
      <c r="N942" s="16" t="n">
        <f aca="false">G942*H942</f>
        <v>130.95</v>
      </c>
      <c r="O942" s="18" t="n">
        <v>4.761904762</v>
      </c>
      <c r="P942" s="16" t="n">
        <f aca="false">I942</f>
        <v>6.5475</v>
      </c>
      <c r="Q942" s="19" t="n">
        <v>6.6</v>
      </c>
      <c r="R942" s="0" t="str">
        <f aca="false">TEXT(K942,"mmm yyyy")</f>
        <v>Mar 2019</v>
      </c>
      <c r="S942" s="14" t="n">
        <f aca="false">HOUR(TIMEVALUE(L942))</f>
        <v>20</v>
      </c>
      <c r="T942" s="0" t="str">
        <f aca="false">IF(S942&lt;12,"Morning",IF(S942&lt;17,"Afternoon","Evening"))</f>
        <v>Evening</v>
      </c>
      <c r="U942" s="16" t="n">
        <f aca="false">G942*H942*0.05</f>
        <v>6.5475</v>
      </c>
    </row>
    <row r="943" customFormat="false" ht="15" hidden="false" customHeight="false" outlineLevel="0" collapsed="false">
      <c r="A943" s="0" t="s">
        <v>1495</v>
      </c>
      <c r="B943" s="0" t="s">
        <v>29</v>
      </c>
      <c r="C943" s="0" t="s">
        <v>56</v>
      </c>
      <c r="D943" s="0" t="s">
        <v>22</v>
      </c>
      <c r="E943" s="0" t="s">
        <v>57</v>
      </c>
      <c r="F943" s="0" t="s">
        <v>27</v>
      </c>
      <c r="G943" s="16" t="n">
        <v>28.56</v>
      </c>
      <c r="H943" s="0" t="n">
        <v>2</v>
      </c>
      <c r="I943" s="16" t="n">
        <f aca="false">G943*H943*0.05</f>
        <v>2.856</v>
      </c>
      <c r="J943" s="16" t="n">
        <f aca="false">G943*H943*1.05</f>
        <v>59.976</v>
      </c>
      <c r="K943" s="17" t="n">
        <v>43548</v>
      </c>
      <c r="L943" s="14" t="s">
        <v>372</v>
      </c>
      <c r="M943" s="14" t="s">
        <v>30</v>
      </c>
      <c r="N943" s="16" t="n">
        <f aca="false">G943*H943</f>
        <v>57.12</v>
      </c>
      <c r="O943" s="18" t="n">
        <v>4.761904762</v>
      </c>
      <c r="P943" s="16" t="n">
        <f aca="false">I943</f>
        <v>2.856</v>
      </c>
      <c r="Q943" s="19" t="n">
        <v>9.6</v>
      </c>
      <c r="R943" s="0" t="str">
        <f aca="false">TEXT(K943,"mmm yyyy")</f>
        <v>Mar 2019</v>
      </c>
      <c r="S943" s="14" t="n">
        <f aca="false">HOUR(TIMEVALUE(L943))</f>
        <v>10</v>
      </c>
      <c r="T943" s="0" t="str">
        <f aca="false">IF(S943&lt;12,"Morning",IF(S943&lt;17,"Afternoon","Evening"))</f>
        <v>Morning</v>
      </c>
      <c r="U943" s="16" t="n">
        <f aca="false">G943*H943*0.05</f>
        <v>2.856</v>
      </c>
    </row>
    <row r="944" customFormat="false" ht="15" hidden="false" customHeight="false" outlineLevel="0" collapsed="false">
      <c r="A944" s="0" t="s">
        <v>1496</v>
      </c>
      <c r="B944" s="0" t="s">
        <v>25</v>
      </c>
      <c r="C944" s="0" t="s">
        <v>68</v>
      </c>
      <c r="D944" s="0" t="s">
        <v>21</v>
      </c>
      <c r="E944" s="0" t="s">
        <v>60</v>
      </c>
      <c r="F944" s="0" t="s">
        <v>27</v>
      </c>
      <c r="G944" s="16" t="n">
        <v>28.47</v>
      </c>
      <c r="H944" s="0" t="n">
        <v>9</v>
      </c>
      <c r="I944" s="16" t="n">
        <f aca="false">G944*H944*0.05</f>
        <v>12.8115</v>
      </c>
      <c r="J944" s="16" t="n">
        <f aca="false">G944*H944*1.05</f>
        <v>269.0415</v>
      </c>
      <c r="K944" s="17" t="n">
        <v>43548</v>
      </c>
      <c r="L944" s="14" t="s">
        <v>1497</v>
      </c>
      <c r="M944" s="14" t="s">
        <v>34</v>
      </c>
      <c r="N944" s="16" t="n">
        <f aca="false">G944*H944</f>
        <v>256.23</v>
      </c>
      <c r="O944" s="18" t="n">
        <v>4.761904762</v>
      </c>
      <c r="P944" s="16" t="n">
        <f aca="false">I944</f>
        <v>12.8115</v>
      </c>
      <c r="Q944" s="19" t="n">
        <v>4</v>
      </c>
      <c r="R944" s="0" t="str">
        <f aca="false">TEXT(K944,"mmm yyyy")</f>
        <v>Mar 2019</v>
      </c>
      <c r="S944" s="14" t="n">
        <f aca="false">HOUR(TIMEVALUE(L944))</f>
        <v>12</v>
      </c>
      <c r="T944" s="0" t="str">
        <f aca="false">IF(S944&lt;12,"Morning",IF(S944&lt;17,"Afternoon","Evening"))</f>
        <v>Afternoon</v>
      </c>
      <c r="U944" s="16" t="n">
        <f aca="false">G944*H944*0.05</f>
        <v>12.8115</v>
      </c>
    </row>
    <row r="945" customFormat="false" ht="15" hidden="false" customHeight="false" outlineLevel="0" collapsed="false">
      <c r="A945" s="0" t="s">
        <v>1498</v>
      </c>
      <c r="B945" s="0" t="s">
        <v>25</v>
      </c>
      <c r="C945" s="0" t="s">
        <v>68</v>
      </c>
      <c r="D945" s="0" t="s">
        <v>21</v>
      </c>
      <c r="E945" s="0" t="s">
        <v>60</v>
      </c>
      <c r="F945" s="0" t="s">
        <v>31</v>
      </c>
      <c r="G945" s="16" t="n">
        <v>70.95</v>
      </c>
      <c r="H945" s="0" t="n">
        <v>1</v>
      </c>
      <c r="I945" s="16" t="n">
        <f aca="false">G945*H945*0.05</f>
        <v>3.5475</v>
      </c>
      <c r="J945" s="16" t="n">
        <f aca="false">G945*H945*1.05</f>
        <v>74.4975</v>
      </c>
      <c r="K945" s="17" t="n">
        <v>43549</v>
      </c>
      <c r="L945" s="14" t="s">
        <v>1017</v>
      </c>
      <c r="M945" s="14" t="s">
        <v>34</v>
      </c>
      <c r="N945" s="16" t="n">
        <f aca="false">G945*H945</f>
        <v>70.95</v>
      </c>
      <c r="O945" s="18" t="n">
        <v>4.761904762</v>
      </c>
      <c r="P945" s="16" t="n">
        <f aca="false">I945</f>
        <v>3.5475</v>
      </c>
      <c r="Q945" s="19" t="n">
        <v>4.2</v>
      </c>
      <c r="R945" s="0" t="str">
        <f aca="false">TEXT(K945,"mmm yyyy")</f>
        <v>Mar 2019</v>
      </c>
      <c r="S945" s="14" t="n">
        <f aca="false">HOUR(TIMEVALUE(L945))</f>
        <v>18</v>
      </c>
      <c r="T945" s="0" t="str">
        <f aca="false">IF(S945&lt;12,"Morning",IF(S945&lt;17,"Afternoon","Evening"))</f>
        <v>Evening</v>
      </c>
      <c r="U945" s="16" t="n">
        <f aca="false">G945*H945*0.05</f>
        <v>3.5475</v>
      </c>
    </row>
    <row r="946" customFormat="false" ht="15" hidden="false" customHeight="false" outlineLevel="0" collapsed="false">
      <c r="A946" s="0" t="s">
        <v>1499</v>
      </c>
      <c r="B946" s="0" t="s">
        <v>25</v>
      </c>
      <c r="C946" s="0" t="s">
        <v>68</v>
      </c>
      <c r="D946" s="0" t="s">
        <v>21</v>
      </c>
      <c r="E946" s="0" t="s">
        <v>60</v>
      </c>
      <c r="F946" s="0" t="s">
        <v>27</v>
      </c>
      <c r="G946" s="16" t="n">
        <v>21.6</v>
      </c>
      <c r="H946" s="0" t="n">
        <v>1</v>
      </c>
      <c r="I946" s="16" t="n">
        <f aca="false">G946*H946*0.05</f>
        <v>1.08</v>
      </c>
      <c r="J946" s="16" t="n">
        <f aca="false">G946*H946*1.05</f>
        <v>22.68</v>
      </c>
      <c r="K946" s="17" t="n">
        <v>43549</v>
      </c>
      <c r="L946" s="14" t="s">
        <v>1500</v>
      </c>
      <c r="M946" s="14" t="s">
        <v>34</v>
      </c>
      <c r="N946" s="16" t="n">
        <f aca="false">G946*H946</f>
        <v>21.6</v>
      </c>
      <c r="O946" s="18" t="n">
        <v>4.761904762</v>
      </c>
      <c r="P946" s="16" t="n">
        <f aca="false">I946</f>
        <v>1.08</v>
      </c>
      <c r="Q946" s="19" t="n">
        <v>7.5</v>
      </c>
      <c r="R946" s="0" t="str">
        <f aca="false">TEXT(K946,"mmm yyyy")</f>
        <v>Mar 2019</v>
      </c>
      <c r="S946" s="14" t="n">
        <f aca="false">HOUR(TIMEVALUE(L946))</f>
        <v>16</v>
      </c>
      <c r="T946" s="0" t="str">
        <f aca="false">IF(S946&lt;12,"Morning",IF(S946&lt;17,"Afternoon","Evening"))</f>
        <v>Afternoon</v>
      </c>
      <c r="U946" s="16" t="n">
        <f aca="false">G946*H946*0.05</f>
        <v>1.08</v>
      </c>
    </row>
    <row r="947" customFormat="false" ht="15" hidden="false" customHeight="false" outlineLevel="0" collapsed="false">
      <c r="A947" s="0" t="s">
        <v>1501</v>
      </c>
      <c r="B947" s="0" t="s">
        <v>25</v>
      </c>
      <c r="C947" s="0" t="s">
        <v>68</v>
      </c>
      <c r="D947" s="0" t="s">
        <v>22</v>
      </c>
      <c r="E947" s="0" t="s">
        <v>60</v>
      </c>
      <c r="F947" s="0" t="s">
        <v>23</v>
      </c>
      <c r="G947" s="16" t="n">
        <v>38.6</v>
      </c>
      <c r="H947" s="0" t="n">
        <v>1</v>
      </c>
      <c r="I947" s="16" t="n">
        <f aca="false">G947*H947*0.05</f>
        <v>1.93</v>
      </c>
      <c r="J947" s="16" t="n">
        <f aca="false">G947*H947*1.05</f>
        <v>40.53</v>
      </c>
      <c r="K947" s="17" t="n">
        <v>43549</v>
      </c>
      <c r="L947" s="14" t="s">
        <v>566</v>
      </c>
      <c r="M947" s="14" t="s">
        <v>34</v>
      </c>
      <c r="N947" s="16" t="n">
        <f aca="false">G947*H947</f>
        <v>38.6</v>
      </c>
      <c r="O947" s="18" t="n">
        <v>4.761904762</v>
      </c>
      <c r="P947" s="16" t="n">
        <f aca="false">I947</f>
        <v>1.93</v>
      </c>
      <c r="Q947" s="19" t="n">
        <v>7.1</v>
      </c>
      <c r="R947" s="0" t="str">
        <f aca="false">TEXT(K947,"mmm yyyy")</f>
        <v>Mar 2019</v>
      </c>
      <c r="S947" s="14" t="n">
        <f aca="false">HOUR(TIMEVALUE(L947))</f>
        <v>19</v>
      </c>
      <c r="T947" s="0" t="str">
        <f aca="false">IF(S947&lt;12,"Morning",IF(S947&lt;17,"Afternoon","Evening"))</f>
        <v>Evening</v>
      </c>
      <c r="U947" s="16" t="n">
        <f aca="false">G947*H947*0.05</f>
        <v>1.93</v>
      </c>
    </row>
    <row r="948" customFormat="false" ht="15" hidden="false" customHeight="false" outlineLevel="0" collapsed="false">
      <c r="A948" s="0" t="s">
        <v>1502</v>
      </c>
      <c r="B948" s="0" t="s">
        <v>25</v>
      </c>
      <c r="C948" s="0" t="s">
        <v>68</v>
      </c>
      <c r="D948" s="0" t="s">
        <v>22</v>
      </c>
      <c r="E948" s="0" t="s">
        <v>60</v>
      </c>
      <c r="F948" s="0" t="s">
        <v>23</v>
      </c>
      <c r="G948" s="16" t="n">
        <v>32.47</v>
      </c>
      <c r="H948" s="0" t="n">
        <v>6</v>
      </c>
      <c r="I948" s="16" t="n">
        <f aca="false">G948*H948*0.05</f>
        <v>9.741</v>
      </c>
      <c r="J948" s="16" t="n">
        <f aca="false">G948*H948*1.05</f>
        <v>204.561</v>
      </c>
      <c r="K948" s="17" t="n">
        <v>43549</v>
      </c>
      <c r="L948" s="14" t="s">
        <v>138</v>
      </c>
      <c r="M948" s="14" t="s">
        <v>34</v>
      </c>
      <c r="N948" s="16" t="n">
        <f aca="false">G948*H948</f>
        <v>194.82</v>
      </c>
      <c r="O948" s="18" t="n">
        <v>4.761904762</v>
      </c>
      <c r="P948" s="16" t="n">
        <f aca="false">I948</f>
        <v>9.741</v>
      </c>
      <c r="Q948" s="19" t="n">
        <v>6.3</v>
      </c>
      <c r="R948" s="0" t="str">
        <f aca="false">TEXT(K948,"mmm yyyy")</f>
        <v>Mar 2019</v>
      </c>
      <c r="S948" s="14" t="n">
        <f aca="false">HOUR(TIMEVALUE(L948))</f>
        <v>11</v>
      </c>
      <c r="T948" s="0" t="str">
        <f aca="false">IF(S948&lt;12,"Morning",IF(S948&lt;17,"Afternoon","Evening"))</f>
        <v>Morning</v>
      </c>
      <c r="U948" s="16" t="n">
        <f aca="false">G948*H948*0.05</f>
        <v>9.741</v>
      </c>
    </row>
    <row r="949" customFormat="false" ht="15" hidden="false" customHeight="false" outlineLevel="0" collapsed="false">
      <c r="A949" s="0" t="s">
        <v>1503</v>
      </c>
      <c r="B949" s="0" t="s">
        <v>25</v>
      </c>
      <c r="C949" s="0" t="s">
        <v>68</v>
      </c>
      <c r="D949" s="0" t="s">
        <v>22</v>
      </c>
      <c r="E949" s="0" t="s">
        <v>57</v>
      </c>
      <c r="F949" s="0" t="s">
        <v>37</v>
      </c>
      <c r="G949" s="16" t="n">
        <v>86.39</v>
      </c>
      <c r="H949" s="0" t="n">
        <v>4</v>
      </c>
      <c r="I949" s="16" t="n">
        <f aca="false">G949*H949*0.05</f>
        <v>17.278</v>
      </c>
      <c r="J949" s="16" t="n">
        <f aca="false">G949*H949*1.05</f>
        <v>362.838</v>
      </c>
      <c r="K949" s="17" t="n">
        <v>43549</v>
      </c>
      <c r="L949" s="14" t="s">
        <v>1470</v>
      </c>
      <c r="M949" s="14" t="s">
        <v>26</v>
      </c>
      <c r="N949" s="16" t="n">
        <f aca="false">G949*H949</f>
        <v>345.56</v>
      </c>
      <c r="O949" s="18" t="n">
        <v>4.761904762</v>
      </c>
      <c r="P949" s="16" t="n">
        <f aca="false">I949</f>
        <v>17.278</v>
      </c>
      <c r="Q949" s="19" t="n">
        <v>9.2</v>
      </c>
      <c r="R949" s="0" t="str">
        <f aca="false">TEXT(K949,"mmm yyyy")</f>
        <v>Mar 2019</v>
      </c>
      <c r="S949" s="14" t="n">
        <f aca="false">HOUR(TIMEVALUE(L949))</f>
        <v>18</v>
      </c>
      <c r="T949" s="0" t="str">
        <f aca="false">IF(S949&lt;12,"Morning",IF(S949&lt;17,"Afternoon","Evening"))</f>
        <v>Evening</v>
      </c>
      <c r="U949" s="16" t="n">
        <f aca="false">G949*H949*0.05</f>
        <v>17.278</v>
      </c>
    </row>
    <row r="950" customFormat="false" ht="15" hidden="false" customHeight="false" outlineLevel="0" collapsed="false">
      <c r="A950" s="0" t="s">
        <v>1504</v>
      </c>
      <c r="B950" s="0" t="s">
        <v>25</v>
      </c>
      <c r="C950" s="0" t="s">
        <v>68</v>
      </c>
      <c r="D950" s="0" t="s">
        <v>22</v>
      </c>
      <c r="E950" s="0" t="s">
        <v>60</v>
      </c>
      <c r="F950" s="0" t="s">
        <v>35</v>
      </c>
      <c r="G950" s="16" t="n">
        <v>71.55</v>
      </c>
      <c r="H950" s="0" t="n">
        <v>4</v>
      </c>
      <c r="I950" s="16" t="n">
        <f aca="false">G950*H950*0.05</f>
        <v>14.31</v>
      </c>
      <c r="J950" s="16" t="n">
        <f aca="false">G950*H950*1.05</f>
        <v>300.51</v>
      </c>
      <c r="K950" s="17" t="n">
        <v>43549</v>
      </c>
      <c r="L950" s="14" t="s">
        <v>100</v>
      </c>
      <c r="M950" s="14" t="s">
        <v>34</v>
      </c>
      <c r="N950" s="16" t="n">
        <f aca="false">G950*H950</f>
        <v>286.2</v>
      </c>
      <c r="O950" s="18" t="n">
        <v>4.761904762</v>
      </c>
      <c r="P950" s="16" t="n">
        <f aca="false">I950</f>
        <v>14.31</v>
      </c>
      <c r="Q950" s="19" t="n">
        <v>8.5</v>
      </c>
      <c r="R950" s="0" t="str">
        <f aca="false">TEXT(K950,"mmm yyyy")</f>
        <v>Mar 2019</v>
      </c>
      <c r="S950" s="14" t="n">
        <f aca="false">HOUR(TIMEVALUE(L950))</f>
        <v>14</v>
      </c>
      <c r="T950" s="0" t="str">
        <f aca="false">IF(S950&lt;12,"Morning",IF(S950&lt;17,"Afternoon","Evening"))</f>
        <v>Afternoon</v>
      </c>
      <c r="U950" s="16" t="n">
        <f aca="false">G950*H950*0.05</f>
        <v>14.31</v>
      </c>
    </row>
    <row r="951" customFormat="false" ht="15" hidden="false" customHeight="false" outlineLevel="0" collapsed="false">
      <c r="A951" s="0" t="s">
        <v>1505</v>
      </c>
      <c r="B951" s="0" t="s">
        <v>25</v>
      </c>
      <c r="C951" s="0" t="s">
        <v>68</v>
      </c>
      <c r="D951" s="0" t="s">
        <v>21</v>
      </c>
      <c r="E951" s="0" t="s">
        <v>60</v>
      </c>
      <c r="F951" s="0" t="s">
        <v>23</v>
      </c>
      <c r="G951" s="16" t="n">
        <v>49.53</v>
      </c>
      <c r="H951" s="0" t="n">
        <v>9</v>
      </c>
      <c r="I951" s="16" t="n">
        <f aca="false">G951*H951*0.05</f>
        <v>22.2885</v>
      </c>
      <c r="J951" s="16" t="n">
        <f aca="false">G951*H951*1.05</f>
        <v>468.0585</v>
      </c>
      <c r="K951" s="17" t="n">
        <v>43549</v>
      </c>
      <c r="L951" s="14" t="s">
        <v>1506</v>
      </c>
      <c r="M951" s="14" t="s">
        <v>30</v>
      </c>
      <c r="N951" s="16" t="n">
        <f aca="false">G951*H951</f>
        <v>445.77</v>
      </c>
      <c r="O951" s="18" t="n">
        <v>4.761904762</v>
      </c>
      <c r="P951" s="16" t="n">
        <f aca="false">I951</f>
        <v>22.2885</v>
      </c>
      <c r="Q951" s="19" t="n">
        <v>7.7</v>
      </c>
      <c r="R951" s="0" t="str">
        <f aca="false">TEXT(K951,"mmm yyyy")</f>
        <v>Mar 2019</v>
      </c>
      <c r="S951" s="14" t="n">
        <f aca="false">HOUR(TIMEVALUE(L951))</f>
        <v>18</v>
      </c>
      <c r="T951" s="0" t="str">
        <f aca="false">IF(S951&lt;12,"Morning",IF(S951&lt;17,"Afternoon","Evening"))</f>
        <v>Evening</v>
      </c>
      <c r="U951" s="16" t="n">
        <f aca="false">G951*H951*0.05</f>
        <v>22.2885</v>
      </c>
    </row>
    <row r="952" customFormat="false" ht="15" hidden="false" customHeight="false" outlineLevel="0" collapsed="false">
      <c r="A952" s="0" t="s">
        <v>1507</v>
      </c>
      <c r="B952" s="0" t="s">
        <v>29</v>
      </c>
      <c r="C952" s="0" t="s">
        <v>56</v>
      </c>
      <c r="D952" s="0" t="s">
        <v>21</v>
      </c>
      <c r="E952" s="0" t="s">
        <v>57</v>
      </c>
      <c r="F952" s="0" t="s">
        <v>31</v>
      </c>
      <c r="G952" s="16" t="n">
        <v>78.83</v>
      </c>
      <c r="H952" s="0" t="n">
        <v>3</v>
      </c>
      <c r="I952" s="16" t="n">
        <f aca="false">G952*H952*0.05</f>
        <v>11.8245</v>
      </c>
      <c r="J952" s="16" t="n">
        <f aca="false">G952*H952*1.05</f>
        <v>248.3145</v>
      </c>
      <c r="K952" s="17" t="n">
        <v>43549</v>
      </c>
      <c r="L952" s="14" t="s">
        <v>1508</v>
      </c>
      <c r="M952" s="14" t="s">
        <v>34</v>
      </c>
      <c r="N952" s="16" t="n">
        <f aca="false">G952*H952</f>
        <v>236.49</v>
      </c>
      <c r="O952" s="18" t="n">
        <v>4.761904762</v>
      </c>
      <c r="P952" s="16" t="n">
        <f aca="false">I952</f>
        <v>11.8245</v>
      </c>
      <c r="Q952" s="19" t="n">
        <v>8.8</v>
      </c>
      <c r="R952" s="0" t="str">
        <f aca="false">TEXT(K952,"mmm yyyy")</f>
        <v>Mar 2019</v>
      </c>
      <c r="S952" s="14" t="n">
        <f aca="false">HOUR(TIMEVALUE(L952))</f>
        <v>19</v>
      </c>
      <c r="T952" s="0" t="str">
        <f aca="false">IF(S952&lt;12,"Morning",IF(S952&lt;17,"Afternoon","Evening"))</f>
        <v>Evening</v>
      </c>
      <c r="U952" s="16" t="n">
        <f aca="false">G952*H952*0.05</f>
        <v>11.8245</v>
      </c>
    </row>
    <row r="953" customFormat="false" ht="15" hidden="false" customHeight="false" outlineLevel="0" collapsed="false">
      <c r="A953" s="0" t="s">
        <v>1509</v>
      </c>
      <c r="B953" s="0" t="s">
        <v>33</v>
      </c>
      <c r="C953" s="0" t="s">
        <v>65</v>
      </c>
      <c r="D953" s="0" t="s">
        <v>21</v>
      </c>
      <c r="E953" s="0" t="s">
        <v>60</v>
      </c>
      <c r="F953" s="0" t="s">
        <v>35</v>
      </c>
      <c r="G953" s="16" t="n">
        <v>69.3</v>
      </c>
      <c r="H953" s="0" t="n">
        <v>1</v>
      </c>
      <c r="I953" s="16" t="n">
        <f aca="false">G953*H953*0.05</f>
        <v>3.465</v>
      </c>
      <c r="J953" s="16" t="n">
        <f aca="false">G953*H953*1.05</f>
        <v>72.765</v>
      </c>
      <c r="K953" s="17" t="n">
        <v>43549</v>
      </c>
      <c r="L953" s="14" t="s">
        <v>140</v>
      </c>
      <c r="M953" s="14" t="s">
        <v>26</v>
      </c>
      <c r="N953" s="16" t="n">
        <f aca="false">G953*H953</f>
        <v>69.3</v>
      </c>
      <c r="O953" s="18" t="n">
        <v>4.761904762</v>
      </c>
      <c r="P953" s="16" t="n">
        <f aca="false">I953</f>
        <v>3.465</v>
      </c>
      <c r="Q953" s="19" t="n">
        <v>8.5</v>
      </c>
      <c r="R953" s="0" t="str">
        <f aca="false">TEXT(K953,"mmm yyyy")</f>
        <v>Mar 2019</v>
      </c>
      <c r="S953" s="14" t="n">
        <f aca="false">HOUR(TIMEVALUE(L953))</f>
        <v>17</v>
      </c>
      <c r="T953" s="0" t="str">
        <f aca="false">IF(S953&lt;12,"Morning",IF(S953&lt;17,"Afternoon","Evening"))</f>
        <v>Evening</v>
      </c>
      <c r="U953" s="16" t="n">
        <f aca="false">G953*H953*0.05</f>
        <v>3.465</v>
      </c>
    </row>
    <row r="954" customFormat="false" ht="15" hidden="false" customHeight="false" outlineLevel="0" collapsed="false">
      <c r="A954" s="0" t="s">
        <v>1510</v>
      </c>
      <c r="B954" s="0" t="s">
        <v>33</v>
      </c>
      <c r="C954" s="0" t="s">
        <v>65</v>
      </c>
      <c r="D954" s="0" t="s">
        <v>21</v>
      </c>
      <c r="E954" s="0" t="s">
        <v>57</v>
      </c>
      <c r="F954" s="0" t="s">
        <v>36</v>
      </c>
      <c r="G954" s="16" t="n">
        <v>73.11</v>
      </c>
      <c r="H954" s="0" t="n">
        <v>3</v>
      </c>
      <c r="I954" s="16" t="n">
        <f aca="false">G954*H954*0.05</f>
        <v>10.9665</v>
      </c>
      <c r="J954" s="16" t="n">
        <f aca="false">G954*H954*1.05</f>
        <v>230.2965</v>
      </c>
      <c r="K954" s="17" t="n">
        <v>43550</v>
      </c>
      <c r="L954" s="14" t="s">
        <v>1511</v>
      </c>
      <c r="M954" s="14" t="s">
        <v>34</v>
      </c>
      <c r="N954" s="16" t="n">
        <f aca="false">G954*H954</f>
        <v>219.33</v>
      </c>
      <c r="O954" s="18" t="n">
        <v>4.761904762</v>
      </c>
      <c r="P954" s="16" t="n">
        <f aca="false">I954</f>
        <v>10.9665</v>
      </c>
      <c r="Q954" s="19" t="n">
        <v>9.1</v>
      </c>
      <c r="R954" s="0" t="str">
        <f aca="false">TEXT(K954,"mmm yyyy")</f>
        <v>Mar 2019</v>
      </c>
      <c r="S954" s="14" t="n">
        <f aca="false">HOUR(TIMEVALUE(L954))</f>
        <v>19</v>
      </c>
      <c r="T954" s="0" t="str">
        <f aca="false">IF(S954&lt;12,"Morning",IF(S954&lt;17,"Afternoon","Evening"))</f>
        <v>Evening</v>
      </c>
      <c r="U954" s="16" t="n">
        <f aca="false">G954*H954*0.05</f>
        <v>10.9665</v>
      </c>
    </row>
    <row r="955" customFormat="false" ht="15" hidden="false" customHeight="false" outlineLevel="0" collapsed="false">
      <c r="A955" s="0" t="s">
        <v>1512</v>
      </c>
      <c r="B955" s="0" t="s">
        <v>33</v>
      </c>
      <c r="C955" s="0" t="s">
        <v>65</v>
      </c>
      <c r="D955" s="0" t="s">
        <v>21</v>
      </c>
      <c r="E955" s="0" t="s">
        <v>60</v>
      </c>
      <c r="F955" s="0" t="s">
        <v>37</v>
      </c>
      <c r="G955" s="16" t="n">
        <v>92.68</v>
      </c>
      <c r="H955" s="0" t="n">
        <v>5</v>
      </c>
      <c r="I955" s="16" t="n">
        <f aca="false">G955*H955*0.05</f>
        <v>23.17</v>
      </c>
      <c r="J955" s="16" t="n">
        <f aca="false">G955*H955*1.05</f>
        <v>486.57</v>
      </c>
      <c r="K955" s="17" t="n">
        <v>43550</v>
      </c>
      <c r="L955" s="14" t="s">
        <v>1513</v>
      </c>
      <c r="M955" s="14" t="s">
        <v>26</v>
      </c>
      <c r="N955" s="16" t="n">
        <f aca="false">G955*H955</f>
        <v>463.4</v>
      </c>
      <c r="O955" s="18" t="n">
        <v>4.761904762</v>
      </c>
      <c r="P955" s="16" t="n">
        <f aca="false">I955</f>
        <v>23.17</v>
      </c>
      <c r="Q955" s="19" t="n">
        <v>8.3</v>
      </c>
      <c r="R955" s="0" t="str">
        <f aca="false">TEXT(K955,"mmm yyyy")</f>
        <v>Mar 2019</v>
      </c>
      <c r="S955" s="14" t="n">
        <f aca="false">HOUR(TIMEVALUE(L955))</f>
        <v>18</v>
      </c>
      <c r="T955" s="0" t="str">
        <f aca="false">IF(S955&lt;12,"Morning",IF(S955&lt;17,"Afternoon","Evening"))</f>
        <v>Evening</v>
      </c>
      <c r="U955" s="16" t="n">
        <f aca="false">G955*H955*0.05</f>
        <v>23.17</v>
      </c>
    </row>
    <row r="956" customFormat="false" ht="15" hidden="false" customHeight="false" outlineLevel="0" collapsed="false">
      <c r="A956" s="0" t="s">
        <v>1514</v>
      </c>
      <c r="B956" s="0" t="s">
        <v>25</v>
      </c>
      <c r="C956" s="0" t="s">
        <v>68</v>
      </c>
      <c r="D956" s="0" t="s">
        <v>22</v>
      </c>
      <c r="E956" s="0" t="s">
        <v>57</v>
      </c>
      <c r="F956" s="0" t="s">
        <v>36</v>
      </c>
      <c r="G956" s="16" t="n">
        <v>57.28</v>
      </c>
      <c r="H956" s="0" t="n">
        <v>8</v>
      </c>
      <c r="I956" s="16" t="n">
        <f aca="false">G956*H956*0.05</f>
        <v>22.912</v>
      </c>
      <c r="J956" s="16" t="n">
        <f aca="false">G956*H956*1.05</f>
        <v>481.152</v>
      </c>
      <c r="K956" s="17" t="n">
        <v>43550</v>
      </c>
      <c r="L956" s="14" t="s">
        <v>1345</v>
      </c>
      <c r="M956" s="14" t="s">
        <v>34</v>
      </c>
      <c r="N956" s="16" t="n">
        <f aca="false">G956*H956</f>
        <v>458.24</v>
      </c>
      <c r="O956" s="18" t="n">
        <v>4.761904762</v>
      </c>
      <c r="P956" s="16" t="n">
        <f aca="false">I956</f>
        <v>22.912</v>
      </c>
      <c r="Q956" s="19" t="n">
        <v>7.8</v>
      </c>
      <c r="R956" s="0" t="str">
        <f aca="false">TEXT(K956,"mmm yyyy")</f>
        <v>Mar 2019</v>
      </c>
      <c r="S956" s="14" t="n">
        <f aca="false">HOUR(TIMEVALUE(L956))</f>
        <v>10</v>
      </c>
      <c r="T956" s="0" t="str">
        <f aca="false">IF(S956&lt;12,"Morning",IF(S956&lt;17,"Afternoon","Evening"))</f>
        <v>Morning</v>
      </c>
      <c r="U956" s="16" t="n">
        <f aca="false">G956*H956*0.05</f>
        <v>22.912</v>
      </c>
    </row>
    <row r="957" customFormat="false" ht="15" hidden="false" customHeight="false" outlineLevel="0" collapsed="false">
      <c r="A957" s="0" t="s">
        <v>1515</v>
      </c>
      <c r="B957" s="0" t="s">
        <v>25</v>
      </c>
      <c r="C957" s="0" t="s">
        <v>68</v>
      </c>
      <c r="D957" s="0" t="s">
        <v>22</v>
      </c>
      <c r="E957" s="0" t="s">
        <v>57</v>
      </c>
      <c r="F957" s="0" t="s">
        <v>36</v>
      </c>
      <c r="G957" s="16" t="n">
        <v>11.46</v>
      </c>
      <c r="H957" s="0" t="n">
        <v>7</v>
      </c>
      <c r="I957" s="16" t="n">
        <f aca="false">G957*H957*0.05</f>
        <v>4.011</v>
      </c>
      <c r="J957" s="16" t="n">
        <f aca="false">G957*H957*1.05</f>
        <v>84.231</v>
      </c>
      <c r="K957" s="17" t="n">
        <v>43550</v>
      </c>
      <c r="L957" s="14" t="s">
        <v>1516</v>
      </c>
      <c r="M957" s="14" t="s">
        <v>34</v>
      </c>
      <c r="N957" s="16" t="n">
        <f aca="false">G957*H957</f>
        <v>80.22</v>
      </c>
      <c r="O957" s="18" t="n">
        <v>4.761904762</v>
      </c>
      <c r="P957" s="16" t="n">
        <f aca="false">I957</f>
        <v>4.011</v>
      </c>
      <c r="Q957" s="19" t="n">
        <v>8.2</v>
      </c>
      <c r="R957" s="0" t="str">
        <f aca="false">TEXT(K957,"mmm yyyy")</f>
        <v>Mar 2019</v>
      </c>
      <c r="S957" s="14" t="n">
        <f aca="false">HOUR(TIMEVALUE(L957))</f>
        <v>10</v>
      </c>
      <c r="T957" s="0" t="str">
        <f aca="false">IF(S957&lt;12,"Morning",IF(S957&lt;17,"Afternoon","Evening"))</f>
        <v>Morning</v>
      </c>
      <c r="U957" s="16" t="n">
        <f aca="false">G957*H957*0.05</f>
        <v>4.011</v>
      </c>
    </row>
    <row r="958" customFormat="false" ht="15" hidden="false" customHeight="false" outlineLevel="0" collapsed="false">
      <c r="A958" s="0" t="s">
        <v>1517</v>
      </c>
      <c r="B958" s="0" t="s">
        <v>29</v>
      </c>
      <c r="C958" s="0" t="s">
        <v>56</v>
      </c>
      <c r="D958" s="0" t="s">
        <v>22</v>
      </c>
      <c r="E958" s="0" t="s">
        <v>60</v>
      </c>
      <c r="F958" s="0" t="s">
        <v>36</v>
      </c>
      <c r="G958" s="16" t="n">
        <v>54.24</v>
      </c>
      <c r="H958" s="0" t="n">
        <v>7</v>
      </c>
      <c r="I958" s="16" t="n">
        <f aca="false">G958*H958*0.05</f>
        <v>18.984</v>
      </c>
      <c r="J958" s="16" t="n">
        <f aca="false">G958*H958*1.05</f>
        <v>398.664</v>
      </c>
      <c r="K958" s="17" t="n">
        <v>43550</v>
      </c>
      <c r="L958" s="14" t="s">
        <v>1103</v>
      </c>
      <c r="M958" s="14" t="s">
        <v>26</v>
      </c>
      <c r="N958" s="16" t="n">
        <f aca="false">G958*H958</f>
        <v>379.68</v>
      </c>
      <c r="O958" s="18" t="n">
        <v>4.761904762</v>
      </c>
      <c r="P958" s="16" t="n">
        <f aca="false">I958</f>
        <v>18.984</v>
      </c>
      <c r="Q958" s="19" t="n">
        <v>9.3</v>
      </c>
      <c r="R958" s="0" t="str">
        <f aca="false">TEXT(K958,"mmm yyyy")</f>
        <v>Mar 2019</v>
      </c>
      <c r="S958" s="14" t="n">
        <f aca="false">HOUR(TIMEVALUE(L958))</f>
        <v>16</v>
      </c>
      <c r="T958" s="0" t="str">
        <f aca="false">IF(S958&lt;12,"Morning",IF(S958&lt;17,"Afternoon","Evening"))</f>
        <v>Afternoon</v>
      </c>
      <c r="U958" s="16" t="n">
        <f aca="false">G958*H958*0.05</f>
        <v>18.984</v>
      </c>
    </row>
    <row r="959" customFormat="false" ht="15" hidden="false" customHeight="false" outlineLevel="0" collapsed="false">
      <c r="A959" s="0" t="s">
        <v>1518</v>
      </c>
      <c r="B959" s="0" t="s">
        <v>25</v>
      </c>
      <c r="C959" s="0" t="s">
        <v>68</v>
      </c>
      <c r="D959" s="0" t="s">
        <v>21</v>
      </c>
      <c r="E959" s="0" t="s">
        <v>60</v>
      </c>
      <c r="F959" s="0" t="s">
        <v>36</v>
      </c>
      <c r="G959" s="16" t="n">
        <v>24.56</v>
      </c>
      <c r="H959" s="0" t="n">
        <v>4</v>
      </c>
      <c r="I959" s="16" t="n">
        <f aca="false">G959*H959*0.05</f>
        <v>4.912</v>
      </c>
      <c r="J959" s="16" t="n">
        <f aca="false">G959*H959*1.05</f>
        <v>103.152</v>
      </c>
      <c r="K959" s="17" t="n">
        <v>43551</v>
      </c>
      <c r="L959" s="14" t="s">
        <v>492</v>
      </c>
      <c r="M959" s="14" t="s">
        <v>30</v>
      </c>
      <c r="N959" s="16" t="n">
        <f aca="false">G959*H959</f>
        <v>98.24</v>
      </c>
      <c r="O959" s="18" t="n">
        <v>4.761904762</v>
      </c>
      <c r="P959" s="16" t="n">
        <f aca="false">I959</f>
        <v>4.912</v>
      </c>
      <c r="Q959" s="19" t="n">
        <v>6.8</v>
      </c>
      <c r="R959" s="0" t="str">
        <f aca="false">TEXT(K959,"mmm yyyy")</f>
        <v>Mar 2019</v>
      </c>
      <c r="S959" s="14" t="n">
        <f aca="false">HOUR(TIMEVALUE(L959))</f>
        <v>15</v>
      </c>
      <c r="T959" s="0" t="str">
        <f aca="false">IF(S959&lt;12,"Morning",IF(S959&lt;17,"Afternoon","Evening"))</f>
        <v>Afternoon</v>
      </c>
      <c r="U959" s="16" t="n">
        <f aca="false">G959*H959*0.05</f>
        <v>4.912</v>
      </c>
    </row>
    <row r="960" customFormat="false" ht="15" hidden="false" customHeight="false" outlineLevel="0" collapsed="false">
      <c r="A960" s="0" t="s">
        <v>1519</v>
      </c>
      <c r="B960" s="0" t="s">
        <v>25</v>
      </c>
      <c r="C960" s="0" t="s">
        <v>68</v>
      </c>
      <c r="D960" s="0" t="s">
        <v>21</v>
      </c>
      <c r="E960" s="0" t="s">
        <v>57</v>
      </c>
      <c r="F960" s="0" t="s">
        <v>27</v>
      </c>
      <c r="G960" s="16" t="n">
        <v>50.83</v>
      </c>
      <c r="H960" s="0" t="n">
        <v>2</v>
      </c>
      <c r="I960" s="16" t="n">
        <f aca="false">G960*H960*0.05</f>
        <v>5.083</v>
      </c>
      <c r="J960" s="16" t="n">
        <f aca="false">G960*H960*1.05</f>
        <v>106.743</v>
      </c>
      <c r="K960" s="17" t="n">
        <v>43551</v>
      </c>
      <c r="L960" s="14" t="s">
        <v>364</v>
      </c>
      <c r="M960" s="14" t="s">
        <v>30</v>
      </c>
      <c r="N960" s="16" t="n">
        <f aca="false">G960*H960</f>
        <v>101.66</v>
      </c>
      <c r="O960" s="18" t="n">
        <v>4.761904762</v>
      </c>
      <c r="P960" s="16" t="n">
        <f aca="false">I960</f>
        <v>5.083</v>
      </c>
      <c r="Q960" s="19" t="n">
        <v>9.8</v>
      </c>
      <c r="R960" s="0" t="str">
        <f aca="false">TEXT(K960,"mmm yyyy")</f>
        <v>Mar 2019</v>
      </c>
      <c r="S960" s="14" t="n">
        <f aca="false">HOUR(TIMEVALUE(L960))</f>
        <v>10</v>
      </c>
      <c r="T960" s="0" t="str">
        <f aca="false">IF(S960&lt;12,"Morning",IF(S960&lt;17,"Afternoon","Evening"))</f>
        <v>Morning</v>
      </c>
      <c r="U960" s="16" t="n">
        <f aca="false">G960*H960*0.05</f>
        <v>5.083</v>
      </c>
    </row>
    <row r="961" customFormat="false" ht="15" hidden="false" customHeight="false" outlineLevel="0" collapsed="false">
      <c r="A961" s="0" t="s">
        <v>1520</v>
      </c>
      <c r="B961" s="0" t="s">
        <v>33</v>
      </c>
      <c r="C961" s="0" t="s">
        <v>65</v>
      </c>
      <c r="D961" s="0" t="s">
        <v>21</v>
      </c>
      <c r="E961" s="0" t="s">
        <v>60</v>
      </c>
      <c r="F961" s="0" t="s">
        <v>23</v>
      </c>
      <c r="G961" s="16" t="n">
        <v>57.48</v>
      </c>
      <c r="H961" s="0" t="n">
        <v>9</v>
      </c>
      <c r="I961" s="16" t="n">
        <f aca="false">G961*H961*0.05</f>
        <v>25.866</v>
      </c>
      <c r="J961" s="16" t="n">
        <f aca="false">G961*H961*1.05</f>
        <v>543.186</v>
      </c>
      <c r="K961" s="17" t="n">
        <v>43551</v>
      </c>
      <c r="L961" s="14" t="s">
        <v>1450</v>
      </c>
      <c r="M961" s="14" t="s">
        <v>30</v>
      </c>
      <c r="N961" s="16" t="n">
        <f aca="false">G961*H961</f>
        <v>517.32</v>
      </c>
      <c r="O961" s="18" t="n">
        <v>4.761904762</v>
      </c>
      <c r="P961" s="16" t="n">
        <f aca="false">I961</f>
        <v>25.866</v>
      </c>
      <c r="Q961" s="19" t="n">
        <v>7.2</v>
      </c>
      <c r="R961" s="0" t="str">
        <f aca="false">TEXT(K961,"mmm yyyy")</f>
        <v>Mar 2019</v>
      </c>
      <c r="S961" s="14" t="n">
        <f aca="false">HOUR(TIMEVALUE(L961))</f>
        <v>14</v>
      </c>
      <c r="T961" s="0" t="str">
        <f aca="false">IF(S961&lt;12,"Morning",IF(S961&lt;17,"Afternoon","Evening"))</f>
        <v>Afternoon</v>
      </c>
      <c r="U961" s="16" t="n">
        <f aca="false">G961*H961*0.05</f>
        <v>25.866</v>
      </c>
    </row>
    <row r="962" customFormat="false" ht="15" hidden="false" customHeight="false" outlineLevel="0" collapsed="false">
      <c r="A962" s="0" t="s">
        <v>1521</v>
      </c>
      <c r="B962" s="0" t="s">
        <v>33</v>
      </c>
      <c r="C962" s="0" t="s">
        <v>65</v>
      </c>
      <c r="D962" s="0" t="s">
        <v>22</v>
      </c>
      <c r="E962" s="0" t="s">
        <v>57</v>
      </c>
      <c r="F962" s="0" t="s">
        <v>37</v>
      </c>
      <c r="G962" s="16" t="n">
        <v>21.62</v>
      </c>
      <c r="H962" s="0" t="n">
        <v>9</v>
      </c>
      <c r="I962" s="16" t="n">
        <f aca="false">G962*H962*0.05</f>
        <v>9.729</v>
      </c>
      <c r="J962" s="16" t="n">
        <f aca="false">G962*H962*1.05</f>
        <v>204.309</v>
      </c>
      <c r="K962" s="17" t="n">
        <v>43551</v>
      </c>
      <c r="L962" s="14" t="s">
        <v>265</v>
      </c>
      <c r="M962" s="14" t="s">
        <v>26</v>
      </c>
      <c r="N962" s="16" t="n">
        <f aca="false">G962*H962</f>
        <v>194.58</v>
      </c>
      <c r="O962" s="18" t="n">
        <v>4.761904762</v>
      </c>
      <c r="P962" s="16" t="n">
        <f aca="false">I962</f>
        <v>9.729</v>
      </c>
      <c r="Q962" s="19" t="n">
        <v>8.8</v>
      </c>
      <c r="R962" s="0" t="str">
        <f aca="false">TEXT(K962,"mmm yyyy")</f>
        <v>Mar 2019</v>
      </c>
      <c r="S962" s="14" t="n">
        <f aca="false">HOUR(TIMEVALUE(L962))</f>
        <v>20</v>
      </c>
      <c r="T962" s="0" t="str">
        <f aca="false">IF(S962&lt;12,"Morning",IF(S962&lt;17,"Afternoon","Evening"))</f>
        <v>Evening</v>
      </c>
      <c r="U962" s="16" t="n">
        <f aca="false">G962*H962*0.05</f>
        <v>9.729</v>
      </c>
    </row>
    <row r="963" customFormat="false" ht="15" hidden="false" customHeight="false" outlineLevel="0" collapsed="false">
      <c r="A963" s="0" t="s">
        <v>1522</v>
      </c>
      <c r="B963" s="0" t="s">
        <v>29</v>
      </c>
      <c r="C963" s="0" t="s">
        <v>56</v>
      </c>
      <c r="D963" s="0" t="s">
        <v>22</v>
      </c>
      <c r="E963" s="0" t="s">
        <v>60</v>
      </c>
      <c r="F963" s="0" t="s">
        <v>27</v>
      </c>
      <c r="G963" s="16" t="n">
        <v>92.21</v>
      </c>
      <c r="H963" s="0" t="n">
        <v>3</v>
      </c>
      <c r="I963" s="16" t="n">
        <f aca="false">G963*H963*0.05</f>
        <v>13.8315</v>
      </c>
      <c r="J963" s="16" t="n">
        <f aca="false">G963*H963*1.05</f>
        <v>290.4615</v>
      </c>
      <c r="K963" s="17" t="n">
        <v>43552</v>
      </c>
      <c r="L963" s="14" t="s">
        <v>783</v>
      </c>
      <c r="M963" s="14" t="s">
        <v>30</v>
      </c>
      <c r="N963" s="16" t="n">
        <f aca="false">G963*H963</f>
        <v>276.63</v>
      </c>
      <c r="O963" s="18" t="n">
        <v>4.761904762</v>
      </c>
      <c r="P963" s="16" t="n">
        <f aca="false">I963</f>
        <v>13.8315</v>
      </c>
      <c r="Q963" s="19" t="n">
        <v>4.9</v>
      </c>
      <c r="R963" s="0" t="str">
        <f aca="false">TEXT(K963,"mmm yyyy")</f>
        <v>Mar 2019</v>
      </c>
      <c r="S963" s="14" t="n">
        <f aca="false">HOUR(TIMEVALUE(L963))</f>
        <v>18</v>
      </c>
      <c r="T963" s="0" t="str">
        <f aca="false">IF(S963&lt;12,"Morning",IF(S963&lt;17,"Afternoon","Evening"))</f>
        <v>Evening</v>
      </c>
      <c r="U963" s="16" t="n">
        <f aca="false">G963*H963*0.05</f>
        <v>13.8315</v>
      </c>
    </row>
    <row r="964" customFormat="false" ht="15" hidden="false" customHeight="false" outlineLevel="0" collapsed="false">
      <c r="A964" s="0" t="s">
        <v>1523</v>
      </c>
      <c r="B964" s="0" t="s">
        <v>29</v>
      </c>
      <c r="C964" s="0" t="s">
        <v>56</v>
      </c>
      <c r="D964" s="0" t="s">
        <v>21</v>
      </c>
      <c r="E964" s="0" t="s">
        <v>60</v>
      </c>
      <c r="F964" s="0" t="s">
        <v>31</v>
      </c>
      <c r="G964" s="16" t="n">
        <v>60.08</v>
      </c>
      <c r="H964" s="0" t="n">
        <v>3</v>
      </c>
      <c r="I964" s="16" t="n">
        <f aca="false">G964*H964*0.05</f>
        <v>9.012</v>
      </c>
      <c r="J964" s="16" t="n">
        <f aca="false">G964*H964*1.05</f>
        <v>189.252</v>
      </c>
      <c r="K964" s="17" t="n">
        <v>43552</v>
      </c>
      <c r="L964" s="14" t="s">
        <v>150</v>
      </c>
      <c r="M964" s="14" t="s">
        <v>30</v>
      </c>
      <c r="N964" s="16" t="n">
        <f aca="false">G964*H964</f>
        <v>180.24</v>
      </c>
      <c r="O964" s="18" t="n">
        <v>4.761904762</v>
      </c>
      <c r="P964" s="16" t="n">
        <f aca="false">I964</f>
        <v>9.012</v>
      </c>
      <c r="Q964" s="19" t="n">
        <v>6.6</v>
      </c>
      <c r="R964" s="0" t="str">
        <f aca="false">TEXT(K964,"mmm yyyy")</f>
        <v>Mar 2019</v>
      </c>
      <c r="S964" s="14" t="n">
        <f aca="false">HOUR(TIMEVALUE(L964))</f>
        <v>10</v>
      </c>
      <c r="T964" s="0" t="str">
        <f aca="false">IF(S964&lt;12,"Morning",IF(S964&lt;17,"Afternoon","Evening"))</f>
        <v>Morning</v>
      </c>
      <c r="U964" s="16" t="n">
        <f aca="false">G964*H964*0.05</f>
        <v>9.012</v>
      </c>
    </row>
    <row r="965" customFormat="false" ht="15" hidden="false" customHeight="false" outlineLevel="0" collapsed="false">
      <c r="A965" s="0" t="s">
        <v>1524</v>
      </c>
      <c r="B965" s="0" t="s">
        <v>33</v>
      </c>
      <c r="C965" s="0" t="s">
        <v>65</v>
      </c>
      <c r="D965" s="0" t="s">
        <v>22</v>
      </c>
      <c r="E965" s="0" t="s">
        <v>57</v>
      </c>
      <c r="F965" s="0" t="s">
        <v>31</v>
      </c>
      <c r="G965" s="16" t="n">
        <v>26.75</v>
      </c>
      <c r="H965" s="0" t="n">
        <v>2</v>
      </c>
      <c r="I965" s="16" t="n">
        <f aca="false">G965*H965*0.05</f>
        <v>2.675</v>
      </c>
      <c r="J965" s="16" t="n">
        <f aca="false">G965*H965*1.05</f>
        <v>56.175</v>
      </c>
      <c r="K965" s="17" t="n">
        <v>43552</v>
      </c>
      <c r="L965" s="14" t="s">
        <v>267</v>
      </c>
      <c r="M965" s="14" t="s">
        <v>26</v>
      </c>
      <c r="N965" s="16" t="n">
        <f aca="false">G965*H965</f>
        <v>53.5</v>
      </c>
      <c r="O965" s="18" t="n">
        <v>4.761904762</v>
      </c>
      <c r="P965" s="16" t="n">
        <f aca="false">I965</f>
        <v>2.675</v>
      </c>
      <c r="Q965" s="19" t="n">
        <v>7.1</v>
      </c>
      <c r="R965" s="0" t="str">
        <f aca="false">TEXT(K965,"mmm yyyy")</f>
        <v>Mar 2019</v>
      </c>
      <c r="S965" s="14" t="n">
        <f aca="false">HOUR(TIMEVALUE(L965))</f>
        <v>14</v>
      </c>
      <c r="T965" s="0" t="str">
        <f aca="false">IF(S965&lt;12,"Morning",IF(S965&lt;17,"Afternoon","Evening"))</f>
        <v>Afternoon</v>
      </c>
      <c r="U965" s="16" t="n">
        <f aca="false">G965*H965*0.05</f>
        <v>2.675</v>
      </c>
    </row>
    <row r="966" customFormat="false" ht="15" hidden="false" customHeight="false" outlineLevel="0" collapsed="false">
      <c r="A966" s="0" t="s">
        <v>1525</v>
      </c>
      <c r="B966" s="0" t="s">
        <v>33</v>
      </c>
      <c r="C966" s="0" t="s">
        <v>65</v>
      </c>
      <c r="D966" s="0" t="s">
        <v>22</v>
      </c>
      <c r="E966" s="0" t="s">
        <v>57</v>
      </c>
      <c r="F966" s="0" t="s">
        <v>31</v>
      </c>
      <c r="G966" s="16" t="n">
        <v>35.67</v>
      </c>
      <c r="H966" s="0" t="n">
        <v>10</v>
      </c>
      <c r="I966" s="16" t="n">
        <f aca="false">G966*H966*0.05</f>
        <v>17.835</v>
      </c>
      <c r="J966" s="16" t="n">
        <f aca="false">G966*H966*1.05</f>
        <v>374.535</v>
      </c>
      <c r="K966" s="17" t="n">
        <v>43552</v>
      </c>
      <c r="L966" s="14" t="s">
        <v>158</v>
      </c>
      <c r="M966" s="14" t="s">
        <v>34</v>
      </c>
      <c r="N966" s="16" t="n">
        <f aca="false">G966*H966</f>
        <v>356.7</v>
      </c>
      <c r="O966" s="18" t="n">
        <v>4.761904762</v>
      </c>
      <c r="P966" s="16" t="n">
        <f aca="false">I966</f>
        <v>17.835</v>
      </c>
      <c r="Q966" s="19" t="n">
        <v>4.2</v>
      </c>
      <c r="R966" s="0" t="str">
        <f aca="false">TEXT(K966,"mmm yyyy")</f>
        <v>Mar 2019</v>
      </c>
      <c r="S966" s="14" t="n">
        <f aca="false">HOUR(TIMEVALUE(L966))</f>
        <v>15</v>
      </c>
      <c r="T966" s="0" t="str">
        <f aca="false">IF(S966&lt;12,"Morning",IF(S966&lt;17,"Afternoon","Evening"))</f>
        <v>Afternoon</v>
      </c>
      <c r="U966" s="16" t="n">
        <f aca="false">G966*H966*0.05</f>
        <v>17.835</v>
      </c>
    </row>
    <row r="967" customFormat="false" ht="15" hidden="false" customHeight="false" outlineLevel="0" collapsed="false">
      <c r="A967" s="0" t="s">
        <v>1526</v>
      </c>
      <c r="B967" s="0" t="s">
        <v>29</v>
      </c>
      <c r="C967" s="0" t="s">
        <v>56</v>
      </c>
      <c r="D967" s="0" t="s">
        <v>22</v>
      </c>
      <c r="E967" s="0" t="s">
        <v>57</v>
      </c>
      <c r="F967" s="0" t="s">
        <v>31</v>
      </c>
      <c r="G967" s="16" t="n">
        <v>37.16</v>
      </c>
      <c r="H967" s="0" t="n">
        <v>1</v>
      </c>
      <c r="I967" s="16" t="n">
        <f aca="false">G967*H967*0.05</f>
        <v>1.858</v>
      </c>
      <c r="J967" s="16" t="n">
        <f aca="false">G967*H967*1.05</f>
        <v>39.018</v>
      </c>
      <c r="K967" s="17" t="n">
        <v>43552</v>
      </c>
      <c r="L967" s="14" t="s">
        <v>232</v>
      </c>
      <c r="M967" s="14" t="s">
        <v>26</v>
      </c>
      <c r="N967" s="16" t="n">
        <f aca="false">G967*H967</f>
        <v>37.16</v>
      </c>
      <c r="O967" s="18" t="n">
        <v>4.761904762</v>
      </c>
      <c r="P967" s="16" t="n">
        <f aca="false">I967</f>
        <v>1.858</v>
      </c>
      <c r="Q967" s="19" t="n">
        <v>8.3</v>
      </c>
      <c r="R967" s="0" t="str">
        <f aca="false">TEXT(K967,"mmm yyyy")</f>
        <v>Mar 2019</v>
      </c>
      <c r="S967" s="14" t="n">
        <f aca="false">HOUR(TIMEVALUE(L967))</f>
        <v>16</v>
      </c>
      <c r="T967" s="0" t="str">
        <f aca="false">IF(S967&lt;12,"Morning",IF(S967&lt;17,"Afternoon","Evening"))</f>
        <v>Afternoon</v>
      </c>
      <c r="U967" s="16" t="n">
        <f aca="false">G967*H967*0.05</f>
        <v>1.858</v>
      </c>
    </row>
    <row r="968" customFormat="false" ht="15" hidden="false" customHeight="false" outlineLevel="0" collapsed="false">
      <c r="A968" s="0" t="s">
        <v>1527</v>
      </c>
      <c r="B968" s="0" t="s">
        <v>33</v>
      </c>
      <c r="C968" s="0" t="s">
        <v>65</v>
      </c>
      <c r="D968" s="0" t="s">
        <v>22</v>
      </c>
      <c r="E968" s="0" t="s">
        <v>57</v>
      </c>
      <c r="F968" s="0" t="s">
        <v>31</v>
      </c>
      <c r="G968" s="16" t="n">
        <v>35.68</v>
      </c>
      <c r="H968" s="0" t="n">
        <v>3</v>
      </c>
      <c r="I968" s="16" t="n">
        <f aca="false">G968*H968*0.05</f>
        <v>5.352</v>
      </c>
      <c r="J968" s="16" t="n">
        <f aca="false">G968*H968*1.05</f>
        <v>112.392</v>
      </c>
      <c r="K968" s="17" t="n">
        <v>43552</v>
      </c>
      <c r="L968" s="14" t="s">
        <v>104</v>
      </c>
      <c r="M968" s="14" t="s">
        <v>30</v>
      </c>
      <c r="N968" s="16" t="n">
        <f aca="false">G968*H968</f>
        <v>107.04</v>
      </c>
      <c r="O968" s="18" t="n">
        <v>4.761904762</v>
      </c>
      <c r="P968" s="16" t="n">
        <f aca="false">I968</f>
        <v>5.352</v>
      </c>
      <c r="Q968" s="19" t="n">
        <v>5.2</v>
      </c>
      <c r="R968" s="0" t="str">
        <f aca="false">TEXT(K968,"mmm yyyy")</f>
        <v>Mar 2019</v>
      </c>
      <c r="S968" s="14" t="n">
        <f aca="false">HOUR(TIMEVALUE(L968))</f>
        <v>13</v>
      </c>
      <c r="T968" s="0" t="str">
        <f aca="false">IF(S968&lt;12,"Morning",IF(S968&lt;17,"Afternoon","Evening"))</f>
        <v>Afternoon</v>
      </c>
      <c r="U968" s="16" t="n">
        <f aca="false">G968*H968*0.05</f>
        <v>5.352</v>
      </c>
    </row>
    <row r="969" customFormat="false" ht="15" hidden="false" customHeight="false" outlineLevel="0" collapsed="false">
      <c r="A969" s="0" t="s">
        <v>1528</v>
      </c>
      <c r="B969" s="0" t="s">
        <v>29</v>
      </c>
      <c r="C969" s="0" t="s">
        <v>56</v>
      </c>
      <c r="D969" s="0" t="s">
        <v>22</v>
      </c>
      <c r="E969" s="0" t="s">
        <v>60</v>
      </c>
      <c r="F969" s="0" t="s">
        <v>27</v>
      </c>
      <c r="G969" s="16" t="n">
        <v>50.36</v>
      </c>
      <c r="H969" s="0" t="n">
        <v>6</v>
      </c>
      <c r="I969" s="16" t="n">
        <f aca="false">G969*H969*0.05</f>
        <v>15.108</v>
      </c>
      <c r="J969" s="16" t="n">
        <f aca="false">G969*H969*1.05</f>
        <v>317.268</v>
      </c>
      <c r="K969" s="17" t="n">
        <v>43552</v>
      </c>
      <c r="L969" s="14" t="s">
        <v>629</v>
      </c>
      <c r="M969" s="14" t="s">
        <v>34</v>
      </c>
      <c r="N969" s="16" t="n">
        <f aca="false">G969*H969</f>
        <v>302.16</v>
      </c>
      <c r="O969" s="18" t="n">
        <v>4.761904762</v>
      </c>
      <c r="P969" s="16" t="n">
        <f aca="false">I969</f>
        <v>15.108</v>
      </c>
      <c r="Q969" s="19" t="n">
        <v>9.4</v>
      </c>
      <c r="R969" s="0" t="str">
        <f aca="false">TEXT(K969,"mmm yyyy")</f>
        <v>Mar 2019</v>
      </c>
      <c r="S969" s="14" t="n">
        <f aca="false">HOUR(TIMEVALUE(L969))</f>
        <v>16</v>
      </c>
      <c r="T969" s="0" t="str">
        <f aca="false">IF(S969&lt;12,"Morning",IF(S969&lt;17,"Afternoon","Evening"))</f>
        <v>Afternoon</v>
      </c>
      <c r="U969" s="16" t="n">
        <f aca="false">G969*H969*0.05</f>
        <v>15.108</v>
      </c>
    </row>
    <row r="970" customFormat="false" ht="15" hidden="false" customHeight="false" outlineLevel="0" collapsed="false">
      <c r="A970" s="0" t="s">
        <v>1529</v>
      </c>
      <c r="B970" s="0" t="s">
        <v>33</v>
      </c>
      <c r="C970" s="0" t="s">
        <v>65</v>
      </c>
      <c r="D970" s="0" t="s">
        <v>22</v>
      </c>
      <c r="E970" s="0" t="s">
        <v>60</v>
      </c>
      <c r="F970" s="0" t="s">
        <v>27</v>
      </c>
      <c r="G970" s="16" t="n">
        <v>39.2</v>
      </c>
      <c r="H970" s="0" t="n">
        <v>2</v>
      </c>
      <c r="I970" s="16" t="n">
        <f aca="false">G970*H970*0.05</f>
        <v>3.92</v>
      </c>
      <c r="J970" s="16" t="n">
        <f aca="false">G970*H970*1.05</f>
        <v>82.32</v>
      </c>
      <c r="K970" s="17" t="n">
        <v>43552</v>
      </c>
      <c r="L970" s="14" t="s">
        <v>645</v>
      </c>
      <c r="M970" s="14" t="s">
        <v>30</v>
      </c>
      <c r="N970" s="16" t="n">
        <f aca="false">G970*H970</f>
        <v>78.4</v>
      </c>
      <c r="O970" s="18" t="n">
        <v>4.761904762</v>
      </c>
      <c r="P970" s="16" t="n">
        <f aca="false">I970</f>
        <v>3.92</v>
      </c>
      <c r="Q970" s="19" t="n">
        <v>8.1</v>
      </c>
      <c r="R970" s="0" t="str">
        <f aca="false">TEXT(K970,"mmm yyyy")</f>
        <v>Mar 2019</v>
      </c>
      <c r="S970" s="14" t="n">
        <f aca="false">HOUR(TIMEVALUE(L970))</f>
        <v>12</v>
      </c>
      <c r="T970" s="0" t="str">
        <f aca="false">IF(S970&lt;12,"Morning",IF(S970&lt;17,"Afternoon","Evening"))</f>
        <v>Afternoon</v>
      </c>
      <c r="U970" s="16" t="n">
        <f aca="false">G970*H970*0.05</f>
        <v>3.92</v>
      </c>
    </row>
    <row r="971" customFormat="false" ht="15" hidden="false" customHeight="false" outlineLevel="0" collapsed="false">
      <c r="A971" s="0" t="s">
        <v>1530</v>
      </c>
      <c r="B971" s="0" t="s">
        <v>33</v>
      </c>
      <c r="C971" s="0" t="s">
        <v>65</v>
      </c>
      <c r="D971" s="0" t="s">
        <v>22</v>
      </c>
      <c r="E971" s="0" t="s">
        <v>57</v>
      </c>
      <c r="F971" s="0" t="s">
        <v>31</v>
      </c>
      <c r="G971" s="16" t="n">
        <v>93.81</v>
      </c>
      <c r="H971" s="0" t="n">
        <v>9</v>
      </c>
      <c r="I971" s="16" t="n">
        <f aca="false">G971*H971*0.05</f>
        <v>42.2145</v>
      </c>
      <c r="J971" s="16" t="n">
        <f aca="false">G971*H971*1.05</f>
        <v>886.5045</v>
      </c>
      <c r="K971" s="17" t="n">
        <v>43552</v>
      </c>
      <c r="L971" s="14" t="s">
        <v>1531</v>
      </c>
      <c r="M971" s="14" t="s">
        <v>26</v>
      </c>
      <c r="N971" s="16" t="n">
        <f aca="false">G971*H971</f>
        <v>844.29</v>
      </c>
      <c r="O971" s="18" t="n">
        <v>4.761904762</v>
      </c>
      <c r="P971" s="16" t="n">
        <f aca="false">I971</f>
        <v>42.2145</v>
      </c>
      <c r="Q971" s="19" t="n">
        <v>5.2</v>
      </c>
      <c r="R971" s="0" t="str">
        <f aca="false">TEXT(K971,"mmm yyyy")</f>
        <v>Mar 2019</v>
      </c>
      <c r="S971" s="14" t="n">
        <f aca="false">HOUR(TIMEVALUE(L971))</f>
        <v>12</v>
      </c>
      <c r="T971" s="0" t="str">
        <f aca="false">IF(S971&lt;12,"Morning",IF(S971&lt;17,"Afternoon","Evening"))</f>
        <v>Afternoon</v>
      </c>
      <c r="U971" s="16" t="n">
        <f aca="false">G971*H971*0.05</f>
        <v>42.2145</v>
      </c>
    </row>
    <row r="972" customFormat="false" ht="15" hidden="false" customHeight="false" outlineLevel="0" collapsed="false">
      <c r="A972" s="0" t="s">
        <v>1532</v>
      </c>
      <c r="B972" s="0" t="s">
        <v>29</v>
      </c>
      <c r="C972" s="0" t="s">
        <v>56</v>
      </c>
      <c r="D972" s="0" t="s">
        <v>22</v>
      </c>
      <c r="E972" s="0" t="s">
        <v>57</v>
      </c>
      <c r="F972" s="0" t="s">
        <v>36</v>
      </c>
      <c r="G972" s="16" t="n">
        <v>89.9</v>
      </c>
      <c r="H972" s="0" t="n">
        <v>8</v>
      </c>
      <c r="I972" s="16" t="n">
        <f aca="false">G972*H972*0.05</f>
        <v>35.96</v>
      </c>
      <c r="J972" s="16" t="n">
        <f aca="false">G972*H972*1.05</f>
        <v>755.16</v>
      </c>
      <c r="K972" s="17" t="n">
        <v>43553</v>
      </c>
      <c r="L972" s="14" t="s">
        <v>380</v>
      </c>
      <c r="M972" s="14" t="s">
        <v>30</v>
      </c>
      <c r="N972" s="16" t="n">
        <f aca="false">G972*H972</f>
        <v>719.2</v>
      </c>
      <c r="O972" s="18" t="n">
        <v>4.761904762</v>
      </c>
      <c r="P972" s="16" t="n">
        <f aca="false">I972</f>
        <v>35.96</v>
      </c>
      <c r="Q972" s="19" t="n">
        <v>8.4</v>
      </c>
      <c r="R972" s="0" t="str">
        <f aca="false">TEXT(K972,"mmm yyyy")</f>
        <v>Mar 2019</v>
      </c>
      <c r="S972" s="14" t="n">
        <f aca="false">HOUR(TIMEVALUE(L972))</f>
        <v>17</v>
      </c>
      <c r="T972" s="0" t="str">
        <f aca="false">IF(S972&lt;12,"Morning",IF(S972&lt;17,"Afternoon","Evening"))</f>
        <v>Evening</v>
      </c>
      <c r="U972" s="16" t="n">
        <f aca="false">G972*H972*0.05</f>
        <v>35.96</v>
      </c>
    </row>
    <row r="973" customFormat="false" ht="15" hidden="false" customHeight="false" outlineLevel="0" collapsed="false">
      <c r="A973" s="0" t="s">
        <v>1533</v>
      </c>
      <c r="B973" s="0" t="s">
        <v>25</v>
      </c>
      <c r="C973" s="0" t="s">
        <v>68</v>
      </c>
      <c r="D973" s="0" t="s">
        <v>21</v>
      </c>
      <c r="E973" s="0" t="s">
        <v>57</v>
      </c>
      <c r="F973" s="0" t="s">
        <v>23</v>
      </c>
      <c r="G973" s="16" t="n">
        <v>44.32</v>
      </c>
      <c r="H973" s="0" t="n">
        <v>10</v>
      </c>
      <c r="I973" s="16" t="n">
        <f aca="false">G973*H973*0.05</f>
        <v>22.16</v>
      </c>
      <c r="J973" s="16" t="n">
        <f aca="false">G973*H973*1.05</f>
        <v>465.36</v>
      </c>
      <c r="K973" s="17" t="n">
        <v>43553</v>
      </c>
      <c r="L973" s="14" t="s">
        <v>913</v>
      </c>
      <c r="M973" s="14" t="s">
        <v>26</v>
      </c>
      <c r="N973" s="16" t="n">
        <f aca="false">G973*H973</f>
        <v>443.2</v>
      </c>
      <c r="O973" s="18" t="n">
        <v>4.761904762</v>
      </c>
      <c r="P973" s="16" t="n">
        <f aca="false">I973</f>
        <v>22.16</v>
      </c>
      <c r="Q973" s="19" t="n">
        <v>4.8</v>
      </c>
      <c r="R973" s="0" t="str">
        <f aca="false">TEXT(K973,"mmm yyyy")</f>
        <v>Mar 2019</v>
      </c>
      <c r="S973" s="14" t="n">
        <f aca="false">HOUR(TIMEVALUE(L973))</f>
        <v>12</v>
      </c>
      <c r="T973" s="0" t="str">
        <f aca="false">IF(S973&lt;12,"Morning",IF(S973&lt;17,"Afternoon","Evening"))</f>
        <v>Afternoon</v>
      </c>
      <c r="U973" s="16" t="n">
        <f aca="false">G973*H973*0.05</f>
        <v>22.16</v>
      </c>
    </row>
    <row r="974" customFormat="false" ht="15" hidden="false" customHeight="false" outlineLevel="0" collapsed="false">
      <c r="A974" s="0" t="s">
        <v>1534</v>
      </c>
      <c r="B974" s="0" t="s">
        <v>33</v>
      </c>
      <c r="C974" s="0" t="s">
        <v>65</v>
      </c>
      <c r="D974" s="0" t="s">
        <v>22</v>
      </c>
      <c r="E974" s="0" t="s">
        <v>60</v>
      </c>
      <c r="F974" s="0" t="s">
        <v>27</v>
      </c>
      <c r="G974" s="16" t="n">
        <v>16.31</v>
      </c>
      <c r="H974" s="0" t="n">
        <v>8</v>
      </c>
      <c r="I974" s="16" t="n">
        <f aca="false">G974*H974*0.05</f>
        <v>6.524</v>
      </c>
      <c r="J974" s="16" t="n">
        <f aca="false">G974*H974*1.05</f>
        <v>137.004</v>
      </c>
      <c r="K974" s="17" t="n">
        <v>43553</v>
      </c>
      <c r="L974" s="14" t="s">
        <v>707</v>
      </c>
      <c r="M974" s="14" t="s">
        <v>26</v>
      </c>
      <c r="N974" s="16" t="n">
        <f aca="false">G974*H974</f>
        <v>130.48</v>
      </c>
      <c r="O974" s="18" t="n">
        <v>4.761904762</v>
      </c>
      <c r="P974" s="16" t="n">
        <f aca="false">I974</f>
        <v>6.524</v>
      </c>
      <c r="Q974" s="19" t="n">
        <v>6.8</v>
      </c>
      <c r="R974" s="0" t="str">
        <f aca="false">TEXT(K974,"mmm yyyy")</f>
        <v>Mar 2019</v>
      </c>
      <c r="S974" s="14" t="n">
        <f aca="false">HOUR(TIMEVALUE(L974))</f>
        <v>13</v>
      </c>
      <c r="T974" s="0" t="str">
        <f aca="false">IF(S974&lt;12,"Morning",IF(S974&lt;17,"Afternoon","Evening"))</f>
        <v>Afternoon</v>
      </c>
      <c r="U974" s="16" t="n">
        <f aca="false">G974*H974*0.05</f>
        <v>6.524</v>
      </c>
    </row>
    <row r="975" customFormat="false" ht="15" hidden="false" customHeight="false" outlineLevel="0" collapsed="false">
      <c r="A975" s="0" t="s">
        <v>1535</v>
      </c>
      <c r="B975" s="0" t="s">
        <v>33</v>
      </c>
      <c r="C975" s="0" t="s">
        <v>65</v>
      </c>
      <c r="D975" s="0" t="s">
        <v>22</v>
      </c>
      <c r="E975" s="0" t="s">
        <v>60</v>
      </c>
      <c r="F975" s="0" t="s">
        <v>23</v>
      </c>
      <c r="G975" s="16" t="n">
        <v>23.43</v>
      </c>
      <c r="H975" s="0" t="n">
        <v>1</v>
      </c>
      <c r="I975" s="16" t="n">
        <f aca="false">G975*H975*0.05</f>
        <v>1.1715</v>
      </c>
      <c r="J975" s="16" t="n">
        <f aca="false">G975*H975*1.05</f>
        <v>24.6015</v>
      </c>
      <c r="K975" s="17" t="n">
        <v>43553</v>
      </c>
      <c r="L975" s="14" t="s">
        <v>106</v>
      </c>
      <c r="M975" s="14" t="s">
        <v>26</v>
      </c>
      <c r="N975" s="16" t="n">
        <f aca="false">G975*H975</f>
        <v>23.43</v>
      </c>
      <c r="O975" s="18" t="n">
        <v>4.761904762</v>
      </c>
      <c r="P975" s="16" t="n">
        <f aca="false">I975</f>
        <v>1.1715</v>
      </c>
      <c r="Q975" s="19" t="n">
        <v>4</v>
      </c>
      <c r="R975" s="0" t="str">
        <f aca="false">TEXT(K975,"mmm yyyy")</f>
        <v>Mar 2019</v>
      </c>
      <c r="S975" s="14" t="n">
        <f aca="false">HOUR(TIMEVALUE(L975))</f>
        <v>16</v>
      </c>
      <c r="T975" s="0" t="str">
        <f aca="false">IF(S975&lt;12,"Morning",IF(S975&lt;17,"Afternoon","Evening"))</f>
        <v>Afternoon</v>
      </c>
      <c r="U975" s="16" t="n">
        <f aca="false">G975*H975*0.05</f>
        <v>1.1715</v>
      </c>
    </row>
    <row r="976" customFormat="false" ht="15" hidden="false" customHeight="false" outlineLevel="0" collapsed="false">
      <c r="A976" s="0" t="s">
        <v>1536</v>
      </c>
      <c r="B976" s="0" t="s">
        <v>25</v>
      </c>
      <c r="C976" s="0" t="s">
        <v>68</v>
      </c>
      <c r="D976" s="0" t="s">
        <v>21</v>
      </c>
      <c r="E976" s="0" t="s">
        <v>57</v>
      </c>
      <c r="F976" s="0" t="s">
        <v>23</v>
      </c>
      <c r="G976" s="16" t="n">
        <v>53.83</v>
      </c>
      <c r="H976" s="0" t="n">
        <v>1</v>
      </c>
      <c r="I976" s="16" t="n">
        <f aca="false">G976*H976*0.05</f>
        <v>2.6915</v>
      </c>
      <c r="J976" s="16" t="n">
        <f aca="false">G976*H976*1.05</f>
        <v>56.5215</v>
      </c>
      <c r="K976" s="17" t="n">
        <v>43553</v>
      </c>
      <c r="L976" s="14" t="s">
        <v>682</v>
      </c>
      <c r="M976" s="14" t="s">
        <v>30</v>
      </c>
      <c r="N976" s="16" t="n">
        <f aca="false">G976*H976</f>
        <v>53.83</v>
      </c>
      <c r="O976" s="18" t="n">
        <v>4.761904762</v>
      </c>
      <c r="P976" s="16" t="n">
        <f aca="false">I976</f>
        <v>2.6915</v>
      </c>
      <c r="Q976" s="19" t="n">
        <v>7.8</v>
      </c>
      <c r="R976" s="0" t="str">
        <f aca="false">TEXT(K976,"mmm yyyy")</f>
        <v>Mar 2019</v>
      </c>
      <c r="S976" s="14" t="n">
        <f aca="false">HOUR(TIMEVALUE(L976))</f>
        <v>19</v>
      </c>
      <c r="T976" s="0" t="str">
        <f aca="false">IF(S976&lt;12,"Morning",IF(S976&lt;17,"Afternoon","Evening"))</f>
        <v>Evening</v>
      </c>
      <c r="U976" s="16" t="n">
        <f aca="false">G976*H976*0.05</f>
        <v>2.6915</v>
      </c>
    </row>
    <row r="977" customFormat="false" ht="15" hidden="false" customHeight="false" outlineLevel="0" collapsed="false">
      <c r="A977" s="0" t="s">
        <v>1537</v>
      </c>
      <c r="B977" s="0" t="s">
        <v>25</v>
      </c>
      <c r="C977" s="0" t="s">
        <v>68</v>
      </c>
      <c r="D977" s="0" t="s">
        <v>22</v>
      </c>
      <c r="E977" s="0" t="s">
        <v>57</v>
      </c>
      <c r="F977" s="0" t="s">
        <v>36</v>
      </c>
      <c r="G977" s="16" t="n">
        <v>52.16</v>
      </c>
      <c r="H977" s="0" t="n">
        <v>6</v>
      </c>
      <c r="I977" s="16" t="n">
        <f aca="false">G977*H977*0.05</f>
        <v>15.648</v>
      </c>
      <c r="J977" s="16" t="n">
        <f aca="false">G977*H977*1.05</f>
        <v>328.608</v>
      </c>
      <c r="K977" s="17" t="n">
        <v>43553</v>
      </c>
      <c r="L977" s="14" t="s">
        <v>882</v>
      </c>
      <c r="M977" s="14" t="s">
        <v>30</v>
      </c>
      <c r="N977" s="16" t="n">
        <f aca="false">G977*H977</f>
        <v>312.96</v>
      </c>
      <c r="O977" s="18" t="n">
        <v>4.761904762</v>
      </c>
      <c r="P977" s="16" t="n">
        <f aca="false">I977</f>
        <v>15.648</v>
      </c>
      <c r="Q977" s="19" t="n">
        <v>8.1</v>
      </c>
      <c r="R977" s="0" t="str">
        <f aca="false">TEXT(K977,"mmm yyyy")</f>
        <v>Mar 2019</v>
      </c>
      <c r="S977" s="14" t="n">
        <f aca="false">HOUR(TIMEVALUE(L977))</f>
        <v>17</v>
      </c>
      <c r="T977" s="0" t="str">
        <f aca="false">IF(S977&lt;12,"Morning",IF(S977&lt;17,"Afternoon","Evening"))</f>
        <v>Evening</v>
      </c>
      <c r="U977" s="16" t="n">
        <f aca="false">G977*H977*0.05</f>
        <v>15.648</v>
      </c>
    </row>
    <row r="978" customFormat="false" ht="15" hidden="false" customHeight="false" outlineLevel="0" collapsed="false">
      <c r="A978" s="0" t="s">
        <v>1538</v>
      </c>
      <c r="B978" s="0" t="s">
        <v>29</v>
      </c>
      <c r="C978" s="0" t="s">
        <v>56</v>
      </c>
      <c r="D978" s="0" t="s">
        <v>21</v>
      </c>
      <c r="E978" s="0" t="s">
        <v>60</v>
      </c>
      <c r="F978" s="0" t="s">
        <v>23</v>
      </c>
      <c r="G978" s="16" t="n">
        <v>21.2</v>
      </c>
      <c r="H978" s="0" t="n">
        <v>5</v>
      </c>
      <c r="I978" s="16" t="n">
        <f aca="false">G978*H978*0.05</f>
        <v>5.3</v>
      </c>
      <c r="J978" s="16" t="n">
        <f aca="false">G978*H978*1.05</f>
        <v>111.3</v>
      </c>
      <c r="K978" s="17" t="n">
        <v>43553</v>
      </c>
      <c r="L978" s="14" t="s">
        <v>100</v>
      </c>
      <c r="M978" s="14" t="s">
        <v>26</v>
      </c>
      <c r="N978" s="16" t="n">
        <f aca="false">G978*H978</f>
        <v>106</v>
      </c>
      <c r="O978" s="18" t="n">
        <v>4.761904762</v>
      </c>
      <c r="P978" s="16" t="n">
        <f aca="false">I978</f>
        <v>5.3</v>
      </c>
      <c r="Q978" s="19" t="n">
        <v>7.6</v>
      </c>
      <c r="R978" s="0" t="str">
        <f aca="false">TEXT(K978,"mmm yyyy")</f>
        <v>Mar 2019</v>
      </c>
      <c r="S978" s="14" t="n">
        <f aca="false">HOUR(TIMEVALUE(L978))</f>
        <v>14</v>
      </c>
      <c r="T978" s="0" t="str">
        <f aca="false">IF(S978&lt;12,"Morning",IF(S978&lt;17,"Afternoon","Evening"))</f>
        <v>Afternoon</v>
      </c>
      <c r="U978" s="16" t="n">
        <f aca="false">G978*H978*0.05</f>
        <v>5.3</v>
      </c>
    </row>
    <row r="979" customFormat="false" ht="15" hidden="false" customHeight="false" outlineLevel="0" collapsed="false">
      <c r="A979" s="0" t="s">
        <v>1539</v>
      </c>
      <c r="B979" s="0" t="s">
        <v>33</v>
      </c>
      <c r="C979" s="0" t="s">
        <v>65</v>
      </c>
      <c r="D979" s="0" t="s">
        <v>22</v>
      </c>
      <c r="E979" s="0" t="s">
        <v>57</v>
      </c>
      <c r="F979" s="0" t="s">
        <v>27</v>
      </c>
      <c r="G979" s="16" t="n">
        <v>87.26</v>
      </c>
      <c r="H979" s="0" t="n">
        <v>6</v>
      </c>
      <c r="I979" s="16" t="n">
        <f aca="false">G979*H979*0.05</f>
        <v>26.178</v>
      </c>
      <c r="J979" s="16" t="n">
        <f aca="false">G979*H979*1.05</f>
        <v>549.738</v>
      </c>
      <c r="K979" s="17" t="n">
        <v>43553</v>
      </c>
      <c r="L979" s="14" t="s">
        <v>606</v>
      </c>
      <c r="M979" s="14" t="s">
        <v>34</v>
      </c>
      <c r="N979" s="16" t="n">
        <f aca="false">G979*H979</f>
        <v>523.56</v>
      </c>
      <c r="O979" s="18" t="n">
        <v>4.761904762</v>
      </c>
      <c r="P979" s="16" t="n">
        <f aca="false">I979</f>
        <v>26.178</v>
      </c>
      <c r="Q979" s="19" t="n">
        <v>9.5</v>
      </c>
      <c r="R979" s="0" t="str">
        <f aca="false">TEXT(K979,"mmm yyyy")</f>
        <v>Mar 2019</v>
      </c>
      <c r="S979" s="14" t="n">
        <f aca="false">HOUR(TIMEVALUE(L979))</f>
        <v>20</v>
      </c>
      <c r="T979" s="0" t="str">
        <f aca="false">IF(S979&lt;12,"Morning",IF(S979&lt;17,"Afternoon","Evening"))</f>
        <v>Evening</v>
      </c>
      <c r="U979" s="16" t="n">
        <f aca="false">G979*H979*0.05</f>
        <v>26.178</v>
      </c>
    </row>
    <row r="980" customFormat="false" ht="15" hidden="false" customHeight="false" outlineLevel="0" collapsed="false">
      <c r="A980" s="0" t="s">
        <v>1540</v>
      </c>
      <c r="B980" s="0" t="s">
        <v>33</v>
      </c>
      <c r="C980" s="0" t="s">
        <v>65</v>
      </c>
      <c r="D980" s="0" t="s">
        <v>21</v>
      </c>
      <c r="E980" s="0" t="s">
        <v>57</v>
      </c>
      <c r="F980" s="0" t="s">
        <v>36</v>
      </c>
      <c r="G980" s="16" t="n">
        <v>33.38</v>
      </c>
      <c r="H980" s="0" t="n">
        <v>6</v>
      </c>
      <c r="I980" s="16" t="n">
        <f aca="false">G980*H980*0.05</f>
        <v>10.014</v>
      </c>
      <c r="J980" s="16" t="n">
        <f aca="false">G980*H980*1.05</f>
        <v>210.294</v>
      </c>
      <c r="K980" s="17" t="n">
        <v>43553</v>
      </c>
      <c r="L980" s="14" t="s">
        <v>771</v>
      </c>
      <c r="M980" s="14" t="s">
        <v>26</v>
      </c>
      <c r="N980" s="16" t="n">
        <f aca="false">G980*H980</f>
        <v>200.28</v>
      </c>
      <c r="O980" s="18" t="n">
        <v>4.761904762</v>
      </c>
      <c r="P980" s="16" t="n">
        <f aca="false">I980</f>
        <v>10.014</v>
      </c>
      <c r="Q980" s="19" t="n">
        <v>8.5</v>
      </c>
      <c r="R980" s="0" t="str">
        <f aca="false">TEXT(K980,"mmm yyyy")</f>
        <v>Mar 2019</v>
      </c>
      <c r="S980" s="14" t="n">
        <f aca="false">HOUR(TIMEVALUE(L980))</f>
        <v>18</v>
      </c>
      <c r="T980" s="0" t="str">
        <f aca="false">IF(S980&lt;12,"Morning",IF(S980&lt;17,"Afternoon","Evening"))</f>
        <v>Evening</v>
      </c>
      <c r="U980" s="16" t="n">
        <f aca="false">G980*H980*0.05</f>
        <v>10.014</v>
      </c>
    </row>
    <row r="981" customFormat="false" ht="15" hidden="false" customHeight="false" outlineLevel="0" collapsed="false">
      <c r="A981" s="0" t="s">
        <v>1541</v>
      </c>
      <c r="B981" s="0" t="s">
        <v>25</v>
      </c>
      <c r="C981" s="0" t="s">
        <v>68</v>
      </c>
      <c r="D981" s="0" t="s">
        <v>21</v>
      </c>
      <c r="E981" s="0" t="s">
        <v>60</v>
      </c>
      <c r="F981" s="0" t="s">
        <v>37</v>
      </c>
      <c r="G981" s="16" t="n">
        <v>95.01</v>
      </c>
      <c r="H981" s="0" t="n">
        <v>7</v>
      </c>
      <c r="I981" s="16" t="n">
        <f aca="false">G981*H981*0.05</f>
        <v>33.2535</v>
      </c>
      <c r="J981" s="16" t="n">
        <f aca="false">G981*H981*1.05</f>
        <v>698.3235</v>
      </c>
      <c r="K981" s="17" t="n">
        <v>43553</v>
      </c>
      <c r="L981" s="14" t="s">
        <v>677</v>
      </c>
      <c r="M981" s="14" t="s">
        <v>34</v>
      </c>
      <c r="N981" s="16" t="n">
        <f aca="false">G981*H981</f>
        <v>665.07</v>
      </c>
      <c r="O981" s="18" t="n">
        <v>4.761904762</v>
      </c>
      <c r="P981" s="16" t="n">
        <f aca="false">I981</f>
        <v>33.2535</v>
      </c>
      <c r="Q981" s="19" t="n">
        <v>5.6</v>
      </c>
      <c r="R981" s="0" t="str">
        <f aca="false">TEXT(K981,"mmm yyyy")</f>
        <v>Mar 2019</v>
      </c>
      <c r="S981" s="14" t="n">
        <f aca="false">HOUR(TIMEVALUE(L981))</f>
        <v>15</v>
      </c>
      <c r="T981" s="0" t="str">
        <f aca="false">IF(S981&lt;12,"Morning",IF(S981&lt;17,"Afternoon","Evening"))</f>
        <v>Afternoon</v>
      </c>
      <c r="U981" s="16" t="n">
        <f aca="false">G981*H981*0.05</f>
        <v>33.2535</v>
      </c>
    </row>
    <row r="982" customFormat="false" ht="15" hidden="false" customHeight="false" outlineLevel="0" collapsed="false">
      <c r="A982" s="0" t="s">
        <v>1542</v>
      </c>
      <c r="B982" s="0" t="s">
        <v>25</v>
      </c>
      <c r="C982" s="0" t="s">
        <v>68</v>
      </c>
      <c r="D982" s="0" t="s">
        <v>22</v>
      </c>
      <c r="E982" s="0" t="s">
        <v>60</v>
      </c>
      <c r="F982" s="0" t="s">
        <v>27</v>
      </c>
      <c r="G982" s="16" t="n">
        <v>11.12</v>
      </c>
      <c r="H982" s="0" t="n">
        <v>9</v>
      </c>
      <c r="I982" s="16" t="n">
        <f aca="false">G982*H982*0.05</f>
        <v>5.004</v>
      </c>
      <c r="J982" s="16" t="n">
        <f aca="false">G982*H982*1.05</f>
        <v>105.084</v>
      </c>
      <c r="K982" s="17" t="n">
        <v>43553</v>
      </c>
      <c r="L982" s="14" t="s">
        <v>257</v>
      </c>
      <c r="M982" s="14" t="s">
        <v>26</v>
      </c>
      <c r="N982" s="16" t="n">
        <f aca="false">G982*H982</f>
        <v>100.08</v>
      </c>
      <c r="O982" s="18" t="n">
        <v>4.761904762</v>
      </c>
      <c r="P982" s="16" t="n">
        <f aca="false">I982</f>
        <v>5.004</v>
      </c>
      <c r="Q982" s="19" t="n">
        <v>5.3</v>
      </c>
      <c r="R982" s="0" t="str">
        <f aca="false">TEXT(K982,"mmm yyyy")</f>
        <v>Mar 2019</v>
      </c>
      <c r="S982" s="14" t="n">
        <f aca="false">HOUR(TIMEVALUE(L982))</f>
        <v>16</v>
      </c>
      <c r="T982" s="0" t="str">
        <f aca="false">IF(S982&lt;12,"Morning",IF(S982&lt;17,"Afternoon","Evening"))</f>
        <v>Afternoon</v>
      </c>
      <c r="U982" s="16" t="n">
        <f aca="false">G982*H982*0.05</f>
        <v>5.004</v>
      </c>
    </row>
    <row r="983" customFormat="false" ht="15" hidden="false" customHeight="false" outlineLevel="0" collapsed="false">
      <c r="A983" s="0" t="s">
        <v>1543</v>
      </c>
      <c r="B983" s="0" t="s">
        <v>25</v>
      </c>
      <c r="C983" s="0" t="s">
        <v>68</v>
      </c>
      <c r="D983" s="0" t="s">
        <v>22</v>
      </c>
      <c r="E983" s="0" t="s">
        <v>57</v>
      </c>
      <c r="F983" s="0" t="s">
        <v>36</v>
      </c>
      <c r="G983" s="16" t="n">
        <v>32.65</v>
      </c>
      <c r="H983" s="0" t="n">
        <v>8</v>
      </c>
      <c r="I983" s="16" t="n">
        <f aca="false">G983*H983*0.05</f>
        <v>13.06</v>
      </c>
      <c r="J983" s="16" t="n">
        <f aca="false">G983*H983*1.05</f>
        <v>274.26</v>
      </c>
      <c r="K983" s="17" t="n">
        <v>43553</v>
      </c>
      <c r="L983" s="14" t="s">
        <v>938</v>
      </c>
      <c r="M983" s="14" t="s">
        <v>30</v>
      </c>
      <c r="N983" s="16" t="n">
        <f aca="false">G983*H983</f>
        <v>261.2</v>
      </c>
      <c r="O983" s="18" t="n">
        <v>4.761904762</v>
      </c>
      <c r="P983" s="16" t="n">
        <f aca="false">I983</f>
        <v>13.06</v>
      </c>
      <c r="Q983" s="19" t="n">
        <v>8.9</v>
      </c>
      <c r="R983" s="0" t="str">
        <f aca="false">TEXT(K983,"mmm yyyy")</f>
        <v>Mar 2019</v>
      </c>
      <c r="S983" s="14" t="n">
        <f aca="false">HOUR(TIMEVALUE(L983))</f>
        <v>11</v>
      </c>
      <c r="T983" s="0" t="str">
        <f aca="false">IF(S983&lt;12,"Morning",IF(S983&lt;17,"Afternoon","Evening"))</f>
        <v>Morning</v>
      </c>
      <c r="U983" s="16" t="n">
        <f aca="false">G983*H983*0.05</f>
        <v>13.06</v>
      </c>
    </row>
    <row r="984" customFormat="false" ht="15" hidden="false" customHeight="false" outlineLevel="0" collapsed="false">
      <c r="A984" s="0" t="s">
        <v>1544</v>
      </c>
      <c r="B984" s="0" t="s">
        <v>29</v>
      </c>
      <c r="C984" s="0" t="s">
        <v>56</v>
      </c>
      <c r="D984" s="0" t="s">
        <v>22</v>
      </c>
      <c r="E984" s="0" t="s">
        <v>57</v>
      </c>
      <c r="F984" s="0" t="s">
        <v>23</v>
      </c>
      <c r="G984" s="16" t="n">
        <v>10.91</v>
      </c>
      <c r="H984" s="0" t="n">
        <v>5</v>
      </c>
      <c r="I984" s="16" t="n">
        <f aca="false">G984*H984*0.05</f>
        <v>2.7275</v>
      </c>
      <c r="J984" s="16" t="n">
        <f aca="false">G984*H984*1.05</f>
        <v>57.2775</v>
      </c>
      <c r="K984" s="17" t="n">
        <v>43553</v>
      </c>
      <c r="L984" s="14" t="s">
        <v>202</v>
      </c>
      <c r="M984" s="14" t="s">
        <v>26</v>
      </c>
      <c r="N984" s="16" t="n">
        <f aca="false">G984*H984</f>
        <v>54.55</v>
      </c>
      <c r="O984" s="18" t="n">
        <v>4.761904762</v>
      </c>
      <c r="P984" s="16" t="n">
        <f aca="false">I984</f>
        <v>2.7275</v>
      </c>
      <c r="Q984" s="19" t="n">
        <v>4.2</v>
      </c>
      <c r="R984" s="0" t="str">
        <f aca="false">TEXT(K984,"mmm yyyy")</f>
        <v>Mar 2019</v>
      </c>
      <c r="S984" s="14" t="n">
        <f aca="false">HOUR(TIMEVALUE(L984))</f>
        <v>16</v>
      </c>
      <c r="T984" s="0" t="str">
        <f aca="false">IF(S984&lt;12,"Morning",IF(S984&lt;17,"Afternoon","Evening"))</f>
        <v>Afternoon</v>
      </c>
      <c r="U984" s="16" t="n">
        <f aca="false">G984*H984*0.05</f>
        <v>2.7275</v>
      </c>
    </row>
    <row r="985" customFormat="false" ht="15" hidden="false" customHeight="false" outlineLevel="0" collapsed="false">
      <c r="A985" s="0" t="s">
        <v>1545</v>
      </c>
      <c r="B985" s="0" t="s">
        <v>33</v>
      </c>
      <c r="C985" s="0" t="s">
        <v>65</v>
      </c>
      <c r="D985" s="0" t="s">
        <v>22</v>
      </c>
      <c r="E985" s="0" t="s">
        <v>57</v>
      </c>
      <c r="F985" s="0" t="s">
        <v>23</v>
      </c>
      <c r="G985" s="16" t="n">
        <v>28.85</v>
      </c>
      <c r="H985" s="0" t="n">
        <v>8</v>
      </c>
      <c r="I985" s="16" t="n">
        <f aca="false">G985*H985*0.05</f>
        <v>11.54</v>
      </c>
      <c r="J985" s="16" t="n">
        <f aca="false">G985*H985*1.05</f>
        <v>242.34</v>
      </c>
      <c r="K985" s="17" t="n">
        <v>43554</v>
      </c>
      <c r="L985" s="14" t="s">
        <v>184</v>
      </c>
      <c r="M985" s="14" t="s">
        <v>26</v>
      </c>
      <c r="N985" s="16" t="n">
        <f aca="false">G985*H985</f>
        <v>230.8</v>
      </c>
      <c r="O985" s="18" t="n">
        <v>4.761904762</v>
      </c>
      <c r="P985" s="16" t="n">
        <f aca="false">I985</f>
        <v>11.54</v>
      </c>
      <c r="Q985" s="19" t="n">
        <v>5.7</v>
      </c>
      <c r="R985" s="0" t="str">
        <f aca="false">TEXT(K985,"mmm yyyy")</f>
        <v>Mar 2019</v>
      </c>
      <c r="S985" s="14" t="n">
        <f aca="false">HOUR(TIMEVALUE(L985))</f>
        <v>19</v>
      </c>
      <c r="T985" s="0" t="str">
        <f aca="false">IF(S985&lt;12,"Morning",IF(S985&lt;17,"Afternoon","Evening"))</f>
        <v>Evening</v>
      </c>
      <c r="U985" s="16" t="n">
        <f aca="false">G985*H985*0.05</f>
        <v>11.54</v>
      </c>
    </row>
    <row r="986" customFormat="false" ht="15" hidden="false" customHeight="false" outlineLevel="0" collapsed="false">
      <c r="A986" s="0" t="s">
        <v>1546</v>
      </c>
      <c r="B986" s="0" t="s">
        <v>29</v>
      </c>
      <c r="C986" s="0" t="s">
        <v>56</v>
      </c>
      <c r="D986" s="0" t="s">
        <v>21</v>
      </c>
      <c r="E986" s="0" t="s">
        <v>60</v>
      </c>
      <c r="F986" s="0" t="s">
        <v>36</v>
      </c>
      <c r="G986" s="16" t="n">
        <v>74.54</v>
      </c>
      <c r="H986" s="0" t="n">
        <v>8</v>
      </c>
      <c r="I986" s="16" t="n">
        <f aca="false">G986*H986*0.05</f>
        <v>29.816</v>
      </c>
      <c r="J986" s="16" t="n">
        <f aca="false">G986*H986*1.05</f>
        <v>626.136</v>
      </c>
      <c r="K986" s="17" t="n">
        <v>43554</v>
      </c>
      <c r="L986" s="14" t="s">
        <v>701</v>
      </c>
      <c r="M986" s="14" t="s">
        <v>26</v>
      </c>
      <c r="N986" s="16" t="n">
        <f aca="false">G986*H986</f>
        <v>596.32</v>
      </c>
      <c r="O986" s="18" t="n">
        <v>4.761904762</v>
      </c>
      <c r="P986" s="16" t="n">
        <f aca="false">I986</f>
        <v>29.816</v>
      </c>
      <c r="Q986" s="19" t="n">
        <v>8.4</v>
      </c>
      <c r="R986" s="0" t="str">
        <f aca="false">TEXT(K986,"mmm yyyy")</f>
        <v>Mar 2019</v>
      </c>
      <c r="S986" s="14" t="n">
        <f aca="false">HOUR(TIMEVALUE(L986))</f>
        <v>18</v>
      </c>
      <c r="T986" s="0" t="str">
        <f aca="false">IF(S986&lt;12,"Morning",IF(S986&lt;17,"Afternoon","Evening"))</f>
        <v>Evening</v>
      </c>
      <c r="U986" s="16" t="n">
        <f aca="false">G986*H986*0.05</f>
        <v>29.816</v>
      </c>
    </row>
    <row r="987" customFormat="false" ht="15" hidden="false" customHeight="false" outlineLevel="0" collapsed="false">
      <c r="A987" s="0" t="s">
        <v>1547</v>
      </c>
      <c r="B987" s="0" t="s">
        <v>25</v>
      </c>
      <c r="C987" s="0" t="s">
        <v>68</v>
      </c>
      <c r="D987" s="0" t="s">
        <v>21</v>
      </c>
      <c r="E987" s="0" t="s">
        <v>60</v>
      </c>
      <c r="F987" s="0" t="s">
        <v>27</v>
      </c>
      <c r="G987" s="16" t="n">
        <v>51.73</v>
      </c>
      <c r="H987" s="0" t="n">
        <v>10</v>
      </c>
      <c r="I987" s="16" t="n">
        <f aca="false">G987*H987*0.05</f>
        <v>25.865</v>
      </c>
      <c r="J987" s="16" t="n">
        <f aca="false">G987*H987*1.05</f>
        <v>543.165</v>
      </c>
      <c r="K987" s="17" t="n">
        <v>43554</v>
      </c>
      <c r="L987" s="14" t="s">
        <v>340</v>
      </c>
      <c r="M987" s="14" t="s">
        <v>30</v>
      </c>
      <c r="N987" s="16" t="n">
        <f aca="false">G987*H987</f>
        <v>517.3</v>
      </c>
      <c r="O987" s="18" t="n">
        <v>4.761904762</v>
      </c>
      <c r="P987" s="16" t="n">
        <f aca="false">I987</f>
        <v>25.865</v>
      </c>
      <c r="Q987" s="19" t="n">
        <v>8.8</v>
      </c>
      <c r="R987" s="0" t="str">
        <f aca="false">TEXT(K987,"mmm yyyy")</f>
        <v>Mar 2019</v>
      </c>
      <c r="S987" s="14" t="n">
        <f aca="false">HOUR(TIMEVALUE(L987))</f>
        <v>20</v>
      </c>
      <c r="T987" s="0" t="str">
        <f aca="false">IF(S987&lt;12,"Morning",IF(S987&lt;17,"Afternoon","Evening"))</f>
        <v>Evening</v>
      </c>
      <c r="U987" s="16" t="n">
        <f aca="false">G987*H987*0.05</f>
        <v>25.865</v>
      </c>
    </row>
    <row r="988" customFormat="false" ht="15" hidden="false" customHeight="false" outlineLevel="0" collapsed="false">
      <c r="A988" s="0" t="s">
        <v>1548</v>
      </c>
      <c r="B988" s="0" t="s">
        <v>29</v>
      </c>
      <c r="C988" s="0" t="s">
        <v>56</v>
      </c>
      <c r="D988" s="0" t="s">
        <v>21</v>
      </c>
      <c r="E988" s="0" t="s">
        <v>57</v>
      </c>
      <c r="F988" s="0" t="s">
        <v>27</v>
      </c>
      <c r="G988" s="16" t="n">
        <v>89.45</v>
      </c>
      <c r="H988" s="0" t="n">
        <v>9</v>
      </c>
      <c r="I988" s="16" t="n">
        <f aca="false">G988*H988*0.05</f>
        <v>40.2525</v>
      </c>
      <c r="J988" s="16" t="n">
        <f aca="false">G988*H988*1.05</f>
        <v>845.3025</v>
      </c>
      <c r="K988" s="17" t="n">
        <v>43554</v>
      </c>
      <c r="L988" s="14" t="s">
        <v>1549</v>
      </c>
      <c r="M988" s="14" t="s">
        <v>30</v>
      </c>
      <c r="N988" s="16" t="n">
        <f aca="false">G988*H988</f>
        <v>805.05</v>
      </c>
      <c r="O988" s="18" t="n">
        <v>4.761904762</v>
      </c>
      <c r="P988" s="16" t="n">
        <f aca="false">I988</f>
        <v>40.2525</v>
      </c>
      <c r="Q988" s="19" t="n">
        <v>9.7</v>
      </c>
      <c r="R988" s="0" t="str">
        <f aca="false">TEXT(K988,"mmm yyyy")</f>
        <v>Mar 2019</v>
      </c>
      <c r="S988" s="14" t="n">
        <f aca="false">HOUR(TIMEVALUE(L988))</f>
        <v>12</v>
      </c>
      <c r="T988" s="0" t="str">
        <f aca="false">IF(S988&lt;12,"Morning",IF(S988&lt;17,"Afternoon","Evening"))</f>
        <v>Afternoon</v>
      </c>
      <c r="U988" s="16" t="n">
        <f aca="false">G988*H988*0.05</f>
        <v>40.2525</v>
      </c>
    </row>
    <row r="989" customFormat="false" ht="15" hidden="false" customHeight="false" outlineLevel="0" collapsed="false">
      <c r="A989" s="0" t="s">
        <v>1550</v>
      </c>
      <c r="B989" s="0" t="s">
        <v>33</v>
      </c>
      <c r="C989" s="0" t="s">
        <v>65</v>
      </c>
      <c r="D989" s="0" t="s">
        <v>21</v>
      </c>
      <c r="E989" s="0" t="s">
        <v>60</v>
      </c>
      <c r="F989" s="0" t="s">
        <v>37</v>
      </c>
      <c r="G989" s="16" t="n">
        <v>13.26</v>
      </c>
      <c r="H989" s="0" t="n">
        <v>2</v>
      </c>
      <c r="I989" s="16" t="n">
        <f aca="false">G989*H989*0.05</f>
        <v>1.326</v>
      </c>
      <c r="J989" s="16" t="n">
        <f aca="false">G989*H989*1.05</f>
        <v>27.846</v>
      </c>
      <c r="K989" s="17" t="n">
        <v>43554</v>
      </c>
      <c r="L989" s="14" t="s">
        <v>182</v>
      </c>
      <c r="M989" s="14" t="s">
        <v>34</v>
      </c>
      <c r="N989" s="16" t="n">
        <f aca="false">G989*H989</f>
        <v>26.52</v>
      </c>
      <c r="O989" s="18" t="n">
        <v>4.761904762</v>
      </c>
      <c r="P989" s="16" t="n">
        <f aca="false">I989</f>
        <v>1.326</v>
      </c>
      <c r="Q989" s="19" t="n">
        <v>8.2</v>
      </c>
      <c r="R989" s="0" t="str">
        <f aca="false">TEXT(K989,"mmm yyyy")</f>
        <v>Mar 2019</v>
      </c>
      <c r="S989" s="14" t="n">
        <f aca="false">HOUR(TIMEVALUE(L989))</f>
        <v>10</v>
      </c>
      <c r="T989" s="0" t="str">
        <f aca="false">IF(S989&lt;12,"Morning",IF(S989&lt;17,"Afternoon","Evening"))</f>
        <v>Morning</v>
      </c>
      <c r="U989" s="16" t="n">
        <f aca="false">G989*H989*0.05</f>
        <v>1.326</v>
      </c>
    </row>
    <row r="990" customFormat="false" ht="15" hidden="false" customHeight="false" outlineLevel="0" collapsed="false">
      <c r="A990" s="0" t="s">
        <v>1551</v>
      </c>
      <c r="B990" s="0" t="s">
        <v>25</v>
      </c>
      <c r="C990" s="0" t="s">
        <v>68</v>
      </c>
      <c r="D990" s="0" t="s">
        <v>22</v>
      </c>
      <c r="E990" s="0" t="s">
        <v>57</v>
      </c>
      <c r="F990" s="0" t="s">
        <v>31</v>
      </c>
      <c r="G990" s="16" t="n">
        <v>86.52</v>
      </c>
      <c r="H990" s="0" t="n">
        <v>6</v>
      </c>
      <c r="I990" s="16" t="n">
        <f aca="false">G990*H990*0.05</f>
        <v>25.956</v>
      </c>
      <c r="J990" s="16" t="n">
        <f aca="false">G990*H990*1.05</f>
        <v>545.076</v>
      </c>
      <c r="K990" s="17" t="n">
        <v>43554</v>
      </c>
      <c r="L990" s="14" t="s">
        <v>543</v>
      </c>
      <c r="M990" s="14" t="s">
        <v>26</v>
      </c>
      <c r="N990" s="16" t="n">
        <f aca="false">G990*H990</f>
        <v>519.12</v>
      </c>
      <c r="O990" s="18" t="n">
        <v>4.761904762</v>
      </c>
      <c r="P990" s="16" t="n">
        <f aca="false">I990</f>
        <v>25.956</v>
      </c>
      <c r="Q990" s="19" t="n">
        <v>6.6</v>
      </c>
      <c r="R990" s="0" t="str">
        <f aca="false">TEXT(K990,"mmm yyyy")</f>
        <v>Mar 2019</v>
      </c>
      <c r="S990" s="14" t="n">
        <f aca="false">HOUR(TIMEVALUE(L990))</f>
        <v>13</v>
      </c>
      <c r="T990" s="0" t="str">
        <f aca="false">IF(S990&lt;12,"Morning",IF(S990&lt;17,"Afternoon","Evening"))</f>
        <v>Afternoon</v>
      </c>
      <c r="U990" s="16" t="n">
        <f aca="false">G990*H990*0.05</f>
        <v>25.956</v>
      </c>
    </row>
    <row r="991" customFormat="false" ht="15" hidden="false" customHeight="false" outlineLevel="0" collapsed="false">
      <c r="A991" s="0" t="s">
        <v>1552</v>
      </c>
      <c r="B991" s="0" t="s">
        <v>25</v>
      </c>
      <c r="C991" s="0" t="s">
        <v>68</v>
      </c>
      <c r="D991" s="0" t="s">
        <v>22</v>
      </c>
      <c r="E991" s="0" t="s">
        <v>60</v>
      </c>
      <c r="F991" s="0" t="s">
        <v>27</v>
      </c>
      <c r="G991" s="16" t="n">
        <v>94</v>
      </c>
      <c r="H991" s="0" t="n">
        <v>6</v>
      </c>
      <c r="I991" s="16" t="n">
        <f aca="false">G991*H991*0.05</f>
        <v>28.2</v>
      </c>
      <c r="J991" s="16" t="n">
        <f aca="false">G991*H991*1.05</f>
        <v>592.2</v>
      </c>
      <c r="K991" s="17" t="n">
        <v>43554</v>
      </c>
      <c r="L991" s="14" t="s">
        <v>1553</v>
      </c>
      <c r="M991" s="14" t="s">
        <v>34</v>
      </c>
      <c r="N991" s="16" t="n">
        <f aca="false">G991*H991</f>
        <v>564</v>
      </c>
      <c r="O991" s="18" t="n">
        <v>4.761904762</v>
      </c>
      <c r="P991" s="16" t="n">
        <f aca="false">I991</f>
        <v>28.2</v>
      </c>
      <c r="Q991" s="19" t="n">
        <v>5</v>
      </c>
      <c r="R991" s="0" t="str">
        <f aca="false">TEXT(K991,"mmm yyyy")</f>
        <v>Mar 2019</v>
      </c>
      <c r="S991" s="14" t="n">
        <f aca="false">HOUR(TIMEVALUE(L991))</f>
        <v>18</v>
      </c>
      <c r="T991" s="0" t="str">
        <f aca="false">IF(S991&lt;12,"Morning",IF(S991&lt;17,"Afternoon","Evening"))</f>
        <v>Evening</v>
      </c>
      <c r="U991" s="16" t="n">
        <f aca="false">G991*H991*0.05</f>
        <v>28.2</v>
      </c>
    </row>
    <row r="992" customFormat="false" ht="15" hidden="false" customHeight="false" outlineLevel="0" collapsed="false">
      <c r="A992" s="0" t="s">
        <v>1554</v>
      </c>
      <c r="B992" s="0" t="s">
        <v>25</v>
      </c>
      <c r="C992" s="0" t="s">
        <v>68</v>
      </c>
      <c r="D992" s="0" t="s">
        <v>22</v>
      </c>
      <c r="E992" s="0" t="s">
        <v>57</v>
      </c>
      <c r="F992" s="0" t="s">
        <v>36</v>
      </c>
      <c r="G992" s="16" t="n">
        <v>73.81</v>
      </c>
      <c r="H992" s="0" t="n">
        <v>3</v>
      </c>
      <c r="I992" s="16" t="n">
        <f aca="false">G992*H992*0.05</f>
        <v>11.0715</v>
      </c>
      <c r="J992" s="16" t="n">
        <f aca="false">G992*H992*1.05</f>
        <v>232.5015</v>
      </c>
      <c r="K992" s="17" t="n">
        <v>43554</v>
      </c>
      <c r="L992" s="14" t="s">
        <v>1555</v>
      </c>
      <c r="M992" s="14" t="s">
        <v>30</v>
      </c>
      <c r="N992" s="16" t="n">
        <f aca="false">G992*H992</f>
        <v>221.43</v>
      </c>
      <c r="O992" s="18" t="n">
        <v>4.761904762</v>
      </c>
      <c r="P992" s="16" t="n">
        <f aca="false">I992</f>
        <v>11.0715</v>
      </c>
      <c r="Q992" s="19" t="n">
        <v>6.8</v>
      </c>
      <c r="R992" s="0" t="str">
        <f aca="false">TEXT(K992,"mmm yyyy")</f>
        <v>Mar 2019</v>
      </c>
      <c r="S992" s="14" t="n">
        <f aca="false">HOUR(TIMEVALUE(L992))</f>
        <v>12</v>
      </c>
      <c r="T992" s="0" t="str">
        <f aca="false">IF(S992&lt;12,"Morning",IF(S992&lt;17,"Afternoon","Evening"))</f>
        <v>Afternoon</v>
      </c>
      <c r="U992" s="16" t="n">
        <f aca="false">G992*H992*0.05</f>
        <v>11.0715</v>
      </c>
    </row>
    <row r="993" customFormat="false" ht="15" hidden="false" customHeight="false" outlineLevel="0" collapsed="false">
      <c r="A993" s="0" t="s">
        <v>1556</v>
      </c>
      <c r="B993" s="0" t="s">
        <v>25</v>
      </c>
      <c r="C993" s="0" t="s">
        <v>68</v>
      </c>
      <c r="D993" s="0" t="s">
        <v>22</v>
      </c>
      <c r="E993" s="0" t="s">
        <v>60</v>
      </c>
      <c r="F993" s="0" t="s">
        <v>37</v>
      </c>
      <c r="G993" s="16" t="n">
        <v>50.07</v>
      </c>
      <c r="H993" s="0" t="n">
        <v>9</v>
      </c>
      <c r="I993" s="16" t="n">
        <f aca="false">G993*H993*0.05</f>
        <v>22.5315</v>
      </c>
      <c r="J993" s="16" t="n">
        <f aca="false">G993*H993*1.05</f>
        <v>473.1615</v>
      </c>
      <c r="K993" s="17" t="n">
        <v>43554</v>
      </c>
      <c r="L993" s="14" t="s">
        <v>840</v>
      </c>
      <c r="M993" s="14" t="s">
        <v>26</v>
      </c>
      <c r="N993" s="16" t="n">
        <f aca="false">G993*H993</f>
        <v>450.63</v>
      </c>
      <c r="O993" s="18" t="n">
        <v>4.761904762</v>
      </c>
      <c r="P993" s="16" t="n">
        <f aca="false">I993</f>
        <v>22.5315</v>
      </c>
      <c r="Q993" s="19" t="n">
        <v>8.8</v>
      </c>
      <c r="R993" s="0" t="str">
        <f aca="false">TEXT(K993,"mmm yyyy")</f>
        <v>Mar 2019</v>
      </c>
      <c r="S993" s="14" t="n">
        <f aca="false">HOUR(TIMEVALUE(L993))</f>
        <v>10</v>
      </c>
      <c r="T993" s="0" t="str">
        <f aca="false">IF(S993&lt;12,"Morning",IF(S993&lt;17,"Afternoon","Evening"))</f>
        <v>Morning</v>
      </c>
      <c r="U993" s="16" t="n">
        <f aca="false">G993*H993*0.05</f>
        <v>22.5315</v>
      </c>
    </row>
    <row r="994" customFormat="false" ht="15" hidden="false" customHeight="false" outlineLevel="0" collapsed="false">
      <c r="A994" s="0" t="s">
        <v>1557</v>
      </c>
      <c r="B994" s="0" t="s">
        <v>29</v>
      </c>
      <c r="C994" s="0" t="s">
        <v>56</v>
      </c>
      <c r="D994" s="0" t="s">
        <v>22</v>
      </c>
      <c r="E994" s="0" t="s">
        <v>60</v>
      </c>
      <c r="F994" s="0" t="s">
        <v>23</v>
      </c>
      <c r="G994" s="16" t="n">
        <v>34.81</v>
      </c>
      <c r="H994" s="0" t="n">
        <v>9</v>
      </c>
      <c r="I994" s="16" t="n">
        <f aca="false">G994*H994*0.05</f>
        <v>15.6645</v>
      </c>
      <c r="J994" s="16" t="n">
        <f aca="false">G994*H994*1.05</f>
        <v>328.9545</v>
      </c>
      <c r="K994" s="17" t="n">
        <v>43554</v>
      </c>
      <c r="L994" s="14" t="s">
        <v>79</v>
      </c>
      <c r="M994" s="14" t="s">
        <v>26</v>
      </c>
      <c r="N994" s="16" t="n">
        <f aca="false">G994*H994</f>
        <v>313.29</v>
      </c>
      <c r="O994" s="18" t="n">
        <v>4.761904762</v>
      </c>
      <c r="P994" s="16" t="n">
        <f aca="false">I994</f>
        <v>15.6645</v>
      </c>
      <c r="Q994" s="19" t="n">
        <v>7.7</v>
      </c>
      <c r="R994" s="0" t="str">
        <f aca="false">TEXT(K994,"mmm yyyy")</f>
        <v>Mar 2019</v>
      </c>
      <c r="S994" s="14" t="n">
        <f aca="false">HOUR(TIMEVALUE(L994))</f>
        <v>12</v>
      </c>
      <c r="T994" s="0" t="str">
        <f aca="false">IF(S994&lt;12,"Morning",IF(S994&lt;17,"Afternoon","Evening"))</f>
        <v>Afternoon</v>
      </c>
      <c r="U994" s="16" t="n">
        <f aca="false">G994*H994*0.05</f>
        <v>15.6645</v>
      </c>
    </row>
    <row r="995" customFormat="false" ht="15" hidden="false" customHeight="false" outlineLevel="0" collapsed="false">
      <c r="A995" s="0" t="s">
        <v>1558</v>
      </c>
      <c r="B995" s="0" t="s">
        <v>25</v>
      </c>
      <c r="C995" s="0" t="s">
        <v>68</v>
      </c>
      <c r="D995" s="0" t="s">
        <v>22</v>
      </c>
      <c r="E995" s="0" t="s">
        <v>60</v>
      </c>
      <c r="F995" s="0" t="s">
        <v>35</v>
      </c>
      <c r="G995" s="16" t="n">
        <v>30.55</v>
      </c>
      <c r="H995" s="0" t="n">
        <v>7</v>
      </c>
      <c r="I995" s="16" t="n">
        <f aca="false">G995*H995*0.05</f>
        <v>10.6925</v>
      </c>
      <c r="J995" s="16" t="n">
        <f aca="false">G995*H995*1.05</f>
        <v>224.5425</v>
      </c>
      <c r="K995" s="17" t="n">
        <v>43554</v>
      </c>
      <c r="L995" s="14" t="s">
        <v>1559</v>
      </c>
      <c r="M995" s="14" t="s">
        <v>34</v>
      </c>
      <c r="N995" s="16" t="n">
        <f aca="false">G995*H995</f>
        <v>213.85</v>
      </c>
      <c r="O995" s="18" t="n">
        <v>4.761904762</v>
      </c>
      <c r="P995" s="16" t="n">
        <f aca="false">I995</f>
        <v>10.6925</v>
      </c>
      <c r="Q995" s="19" t="n">
        <v>8.1</v>
      </c>
      <c r="R995" s="0" t="str">
        <f aca="false">TEXT(K995,"mmm yyyy")</f>
        <v>Mar 2019</v>
      </c>
      <c r="S995" s="14" t="n">
        <f aca="false">HOUR(TIMEVALUE(L995))</f>
        <v>11</v>
      </c>
      <c r="T995" s="0" t="str">
        <f aca="false">IF(S995&lt;12,"Morning",IF(S995&lt;17,"Afternoon","Evening"))</f>
        <v>Morning</v>
      </c>
      <c r="U995" s="16" t="n">
        <f aca="false">G995*H995*0.05</f>
        <v>10.6925</v>
      </c>
    </row>
    <row r="996" customFormat="false" ht="15" hidden="false" customHeight="false" outlineLevel="0" collapsed="false">
      <c r="A996" s="0" t="s">
        <v>1560</v>
      </c>
      <c r="B996" s="0" t="s">
        <v>25</v>
      </c>
      <c r="C996" s="0" t="s">
        <v>68</v>
      </c>
      <c r="D996" s="0" t="s">
        <v>21</v>
      </c>
      <c r="E996" s="0" t="s">
        <v>57</v>
      </c>
      <c r="F996" s="0" t="s">
        <v>36</v>
      </c>
      <c r="G996" s="16" t="n">
        <v>40.61</v>
      </c>
      <c r="H996" s="0" t="n">
        <v>5</v>
      </c>
      <c r="I996" s="16" t="n">
        <f aca="false">G996*H996*0.05</f>
        <v>10.1525</v>
      </c>
      <c r="J996" s="16" t="n">
        <f aca="false">G996*H996*1.05</f>
        <v>213.2025</v>
      </c>
      <c r="K996" s="17" t="n">
        <v>43554</v>
      </c>
      <c r="L996" s="14" t="s">
        <v>1223</v>
      </c>
      <c r="M996" s="14" t="s">
        <v>26</v>
      </c>
      <c r="N996" s="16" t="n">
        <f aca="false">G996*H996</f>
        <v>203.05</v>
      </c>
      <c r="O996" s="18" t="n">
        <v>4.761904762</v>
      </c>
      <c r="P996" s="16" t="n">
        <f aca="false">I996</f>
        <v>10.1525</v>
      </c>
      <c r="Q996" s="19" t="n">
        <v>8.2</v>
      </c>
      <c r="R996" s="0" t="str">
        <f aca="false">TEXT(K996,"mmm yyyy")</f>
        <v>Mar 2019</v>
      </c>
      <c r="S996" s="14" t="n">
        <f aca="false">HOUR(TIMEVALUE(L996))</f>
        <v>12</v>
      </c>
      <c r="T996" s="0" t="str">
        <f aca="false">IF(S996&lt;12,"Morning",IF(S996&lt;17,"Afternoon","Evening"))</f>
        <v>Afternoon</v>
      </c>
      <c r="U996" s="16" t="n">
        <f aca="false">G996*H996*0.05</f>
        <v>10.1525</v>
      </c>
    </row>
    <row r="997" customFormat="false" ht="15" hidden="false" customHeight="false" outlineLevel="0" collapsed="false">
      <c r="A997" s="0" t="s">
        <v>1561</v>
      </c>
      <c r="B997" s="0" t="s">
        <v>29</v>
      </c>
      <c r="C997" s="0" t="s">
        <v>56</v>
      </c>
      <c r="D997" s="0" t="s">
        <v>22</v>
      </c>
      <c r="E997" s="0" t="s">
        <v>57</v>
      </c>
      <c r="F997" s="0" t="s">
        <v>35</v>
      </c>
      <c r="G997" s="16" t="n">
        <v>96.36</v>
      </c>
      <c r="H997" s="0" t="n">
        <v>8</v>
      </c>
      <c r="I997" s="16" t="n">
        <f aca="false">G997*H997*0.05</f>
        <v>38.544</v>
      </c>
      <c r="J997" s="16" t="n">
        <f aca="false">G997*H997*1.05</f>
        <v>809.424</v>
      </c>
      <c r="K997" s="17" t="n">
        <v>43554</v>
      </c>
      <c r="L997" s="14" t="s">
        <v>1562</v>
      </c>
      <c r="M997" s="14" t="s">
        <v>34</v>
      </c>
      <c r="N997" s="16" t="n">
        <f aca="false">G997*H997</f>
        <v>770.88</v>
      </c>
      <c r="O997" s="18" t="n">
        <v>4.761904762</v>
      </c>
      <c r="P997" s="16" t="n">
        <f aca="false">I997</f>
        <v>38.544</v>
      </c>
      <c r="Q997" s="19" t="n">
        <v>6.2</v>
      </c>
      <c r="R997" s="0" t="str">
        <f aca="false">TEXT(K997,"mmm yyyy")</f>
        <v>Mar 2019</v>
      </c>
      <c r="S997" s="14" t="n">
        <f aca="false">HOUR(TIMEVALUE(L997))</f>
        <v>16</v>
      </c>
      <c r="T997" s="0" t="str">
        <f aca="false">IF(S997&lt;12,"Morning",IF(S997&lt;17,"Afternoon","Evening"))</f>
        <v>Afternoon</v>
      </c>
      <c r="U997" s="16" t="n">
        <f aca="false">G997*H997*0.05</f>
        <v>38.544</v>
      </c>
    </row>
    <row r="998" customFormat="false" ht="15" hidden="false" customHeight="false" outlineLevel="0" collapsed="false">
      <c r="A998" s="0" t="s">
        <v>1563</v>
      </c>
      <c r="B998" s="0" t="s">
        <v>25</v>
      </c>
      <c r="C998" s="0" t="s">
        <v>68</v>
      </c>
      <c r="D998" s="0" t="s">
        <v>21</v>
      </c>
      <c r="E998" s="0" t="s">
        <v>60</v>
      </c>
      <c r="F998" s="0" t="s">
        <v>35</v>
      </c>
      <c r="G998" s="16" t="n">
        <v>16.76</v>
      </c>
      <c r="H998" s="0" t="n">
        <v>8</v>
      </c>
      <c r="I998" s="16" t="n">
        <f aca="false">G998*H998*0.05</f>
        <v>6.704</v>
      </c>
      <c r="J998" s="16" t="n">
        <f aca="false">G998*H998*1.05</f>
        <v>140.784</v>
      </c>
      <c r="K998" s="17" t="n">
        <v>43554</v>
      </c>
      <c r="L998" s="14" t="s">
        <v>350</v>
      </c>
      <c r="M998" s="14" t="s">
        <v>26</v>
      </c>
      <c r="N998" s="16" t="n">
        <f aca="false">G998*H998</f>
        <v>134.08</v>
      </c>
      <c r="O998" s="18" t="n">
        <v>4.761904762</v>
      </c>
      <c r="P998" s="16" t="n">
        <f aca="false">I998</f>
        <v>6.704</v>
      </c>
      <c r="Q998" s="19" t="n">
        <v>9.6</v>
      </c>
      <c r="R998" s="0" t="str">
        <f aca="false">TEXT(K998,"mmm yyyy")</f>
        <v>Mar 2019</v>
      </c>
      <c r="S998" s="14" t="n">
        <f aca="false">HOUR(TIMEVALUE(L998))</f>
        <v>16</v>
      </c>
      <c r="T998" s="0" t="str">
        <f aca="false">IF(S998&lt;12,"Morning",IF(S998&lt;17,"Afternoon","Evening"))</f>
        <v>Afternoon</v>
      </c>
      <c r="U998" s="16" t="n">
        <f aca="false">G998*H998*0.05</f>
        <v>6.704</v>
      </c>
    </row>
    <row r="999" customFormat="false" ht="15" hidden="false" customHeight="false" outlineLevel="0" collapsed="false">
      <c r="A999" s="0" t="s">
        <v>1564</v>
      </c>
      <c r="B999" s="0" t="s">
        <v>33</v>
      </c>
      <c r="C999" s="0" t="s">
        <v>65</v>
      </c>
      <c r="D999" s="0" t="s">
        <v>21</v>
      </c>
      <c r="E999" s="0" t="s">
        <v>57</v>
      </c>
      <c r="F999" s="0" t="s">
        <v>36</v>
      </c>
      <c r="G999" s="16" t="n">
        <v>85.88</v>
      </c>
      <c r="H999" s="0" t="n">
        <v>2</v>
      </c>
      <c r="I999" s="16" t="n">
        <f aca="false">G999*H999*0.05</f>
        <v>8.588</v>
      </c>
      <c r="J999" s="16" t="n">
        <f aca="false">G999*H999*1.05</f>
        <v>180.348</v>
      </c>
      <c r="K999" s="17" t="n">
        <v>43554</v>
      </c>
      <c r="L999" s="14" t="s">
        <v>611</v>
      </c>
      <c r="M999" s="14" t="s">
        <v>26</v>
      </c>
      <c r="N999" s="16" t="n">
        <f aca="false">G999*H999</f>
        <v>171.76</v>
      </c>
      <c r="O999" s="18" t="n">
        <v>4.761904762</v>
      </c>
      <c r="P999" s="16" t="n">
        <f aca="false">I999</f>
        <v>8.588</v>
      </c>
      <c r="Q999" s="19" t="n">
        <v>4.7</v>
      </c>
      <c r="R999" s="0" t="str">
        <f aca="false">TEXT(K999,"mmm yyyy")</f>
        <v>Mar 2019</v>
      </c>
      <c r="S999" s="14" t="n">
        <f aca="false">HOUR(TIMEVALUE(L999))</f>
        <v>15</v>
      </c>
      <c r="T999" s="0" t="str">
        <f aca="false">IF(S999&lt;12,"Morning",IF(S999&lt;17,"Afternoon","Evening"))</f>
        <v>Afternoon</v>
      </c>
      <c r="U999" s="16" t="n">
        <f aca="false">G999*H999*0.05</f>
        <v>8.588</v>
      </c>
    </row>
    <row r="1000" customFormat="false" ht="15" hidden="false" customHeight="false" outlineLevel="0" collapsed="false">
      <c r="A1000" s="0" t="s">
        <v>1565</v>
      </c>
      <c r="B1000" s="0" t="s">
        <v>29</v>
      </c>
      <c r="C1000" s="0" t="s">
        <v>56</v>
      </c>
      <c r="D1000" s="0" t="s">
        <v>21</v>
      </c>
      <c r="E1000" s="0" t="s">
        <v>57</v>
      </c>
      <c r="F1000" s="0" t="s">
        <v>35</v>
      </c>
      <c r="G1000" s="16" t="n">
        <v>35.43</v>
      </c>
      <c r="H1000" s="0" t="n">
        <v>7</v>
      </c>
      <c r="I1000" s="16" t="n">
        <f aca="false">G1000*H1000*0.05</f>
        <v>12.4005</v>
      </c>
      <c r="J1000" s="16" t="n">
        <f aca="false">G1000*H1000*1.05</f>
        <v>260.4105</v>
      </c>
      <c r="K1000" s="17" t="n">
        <v>43554</v>
      </c>
      <c r="L1000" s="14" t="s">
        <v>1458</v>
      </c>
      <c r="M1000" s="14" t="s">
        <v>34</v>
      </c>
      <c r="N1000" s="16" t="n">
        <f aca="false">G1000*H1000</f>
        <v>248.01</v>
      </c>
      <c r="O1000" s="18" t="n">
        <v>4.761904762</v>
      </c>
      <c r="P1000" s="16" t="n">
        <f aca="false">I1000</f>
        <v>12.4005</v>
      </c>
      <c r="Q1000" s="19" t="n">
        <v>7.2</v>
      </c>
      <c r="R1000" s="0" t="str">
        <f aca="false">TEXT(K1000,"mmm yyyy")</f>
        <v>Mar 2019</v>
      </c>
      <c r="S1000" s="14" t="n">
        <f aca="false">HOUR(TIMEVALUE(L1000))</f>
        <v>15</v>
      </c>
      <c r="T1000" s="0" t="str">
        <f aca="false">IF(S1000&lt;12,"Morning",IF(S1000&lt;17,"Afternoon","Evening"))</f>
        <v>Afternoon</v>
      </c>
      <c r="U1000" s="16" t="n">
        <f aca="false">G1000*H1000*0.05</f>
        <v>12.4005</v>
      </c>
    </row>
    <row r="1001" customFormat="false" ht="15" hidden="false" customHeight="false" outlineLevel="0" collapsed="false">
      <c r="A1001" s="0" t="s">
        <v>1566</v>
      </c>
      <c r="B1001" s="0" t="s">
        <v>33</v>
      </c>
      <c r="C1001" s="0" t="s">
        <v>65</v>
      </c>
      <c r="D1001" s="0" t="s">
        <v>21</v>
      </c>
      <c r="E1001" s="0" t="s">
        <v>60</v>
      </c>
      <c r="F1001" s="0" t="s">
        <v>31</v>
      </c>
      <c r="G1001" s="16" t="n">
        <v>19.47</v>
      </c>
      <c r="H1001" s="0" t="n">
        <v>3</v>
      </c>
      <c r="I1001" s="16" t="n">
        <f aca="false">G1001*H1001*0.05</f>
        <v>2.9205</v>
      </c>
      <c r="J1001" s="16" t="n">
        <f aca="false">G1001*H1001*1.05</f>
        <v>61.3305</v>
      </c>
      <c r="K1001" s="17" t="n">
        <v>43554</v>
      </c>
      <c r="L1001" s="14" t="s">
        <v>798</v>
      </c>
      <c r="M1001" s="14" t="s">
        <v>30</v>
      </c>
      <c r="N1001" s="16" t="n">
        <f aca="false">G1001*H1001</f>
        <v>58.41</v>
      </c>
      <c r="O1001" s="18" t="n">
        <v>4.761904762</v>
      </c>
      <c r="P1001" s="16" t="n">
        <f aca="false">I1001</f>
        <v>2.9205</v>
      </c>
      <c r="Q1001" s="19" t="n">
        <v>8.3</v>
      </c>
      <c r="R1001" s="0" t="str">
        <f aca="false">TEXT(K1001,"mmm yyyy")</f>
        <v>Mar 2019</v>
      </c>
      <c r="S1001" s="14" t="n">
        <f aca="false">HOUR(TIMEVALUE(L1001))</f>
        <v>19</v>
      </c>
      <c r="T1001" s="0" t="str">
        <f aca="false">IF(S1001&lt;12,"Morning",IF(S1001&lt;17,"Afternoon","Evening"))</f>
        <v>Evening</v>
      </c>
      <c r="U1001" s="16" t="n">
        <f aca="false">G1001*H1001*0.05</f>
        <v>2.9205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2026-09-01T06:37:39Z</dcterms:created>
  <dc:creator>openpyxl</dc:creator>
  <dc:description/>
  <dc:language>en-US</dc:language>
  <cp:lastModifiedBy/>
  <dcterms:modified xsi:type="dcterms:W3CDTF">2026-09-01T06:37:43Z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